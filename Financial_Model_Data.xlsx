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edrive-global.kpmg.com/personal/jiaweizhong_kpmg_com_sg/Documents/"/>
    </mc:Choice>
  </mc:AlternateContent>
  <xr:revisionPtr revIDLastSave="0" documentId="8_{6BF66E47-F9E9-49D0-97BE-8F3D3BBA221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over" sheetId="1" r:id="rId1"/>
    <sheet name="Assumptions" sheetId="2" r:id="rId2"/>
    <sheet name="Revenue" sheetId="3" r:id="rId3"/>
    <sheet name="Capex" sheetId="4" r:id="rId4"/>
    <sheet name="PnL" sheetId="5" r:id="rId5"/>
    <sheet name="Debt_Schedule" sheetId="6" r:id="rId6"/>
    <sheet name="CashFlows" sheetId="7" r:id="rId7"/>
    <sheet name="Returns" sheetId="8" r:id="rId8"/>
    <sheet name="Sensitivity" sheetId="9" r:id="rId9"/>
    <sheet name="Checks" sheetId="10" r:id="rId10"/>
    <sheet name="Dashboard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0" l="1"/>
  <c r="D15" i="10"/>
  <c r="D13" i="10"/>
  <c r="E12" i="10"/>
  <c r="D12" i="10"/>
  <c r="D10" i="10"/>
  <c r="E9" i="10"/>
  <c r="D7" i="10"/>
  <c r="E6" i="10"/>
  <c r="D6" i="10"/>
  <c r="D5" i="10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16" i="7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D16" i="7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U19" i="4"/>
  <c r="T19" i="4"/>
  <c r="S19" i="4"/>
  <c r="R19" i="4"/>
  <c r="Q19" i="4"/>
  <c r="L19" i="4"/>
  <c r="K19" i="4"/>
  <c r="I19" i="4"/>
  <c r="H19" i="4"/>
  <c r="G19" i="4"/>
  <c r="F19" i="4"/>
  <c r="E19" i="4"/>
  <c r="E10" i="10" s="1"/>
  <c r="V14" i="4"/>
  <c r="V19" i="4" s="1"/>
  <c r="U14" i="4"/>
  <c r="T14" i="4"/>
  <c r="S14" i="4"/>
  <c r="R14" i="4"/>
  <c r="Q14" i="4"/>
  <c r="P14" i="4"/>
  <c r="P19" i="4" s="1"/>
  <c r="O14" i="4"/>
  <c r="O19" i="4" s="1"/>
  <c r="N14" i="4"/>
  <c r="N19" i="4" s="1"/>
  <c r="M14" i="4"/>
  <c r="M19" i="4" s="1"/>
  <c r="L14" i="4"/>
  <c r="K14" i="4"/>
  <c r="J14" i="4"/>
  <c r="J19" i="4" s="1"/>
  <c r="I14" i="4"/>
  <c r="H14" i="4"/>
  <c r="G14" i="4"/>
  <c r="F14" i="4"/>
  <c r="E14" i="4"/>
  <c r="D14" i="4"/>
  <c r="D19" i="4" s="1"/>
  <c r="C14" i="4"/>
  <c r="C19" i="4" s="1"/>
  <c r="C20" i="4" s="1"/>
  <c r="D20" i="4" s="1"/>
  <c r="E20" i="4" s="1"/>
  <c r="F20" i="4" s="1"/>
  <c r="G20" i="4" s="1"/>
  <c r="H20" i="4" s="1"/>
  <c r="I20" i="4" s="1"/>
  <c r="E16" i="3"/>
  <c r="D16" i="3"/>
  <c r="C16" i="3"/>
  <c r="M14" i="3"/>
  <c r="V12" i="3"/>
  <c r="V14" i="3" s="1"/>
  <c r="V16" i="3" s="1"/>
  <c r="U12" i="3"/>
  <c r="U14" i="3" s="1"/>
  <c r="T12" i="3"/>
  <c r="T14" i="3" s="1"/>
  <c r="S12" i="3"/>
  <c r="R12" i="3"/>
  <c r="Q12" i="3"/>
  <c r="P12" i="3"/>
  <c r="O12" i="3"/>
  <c r="N12" i="3"/>
  <c r="M12" i="3"/>
  <c r="L12" i="3"/>
  <c r="K12" i="3"/>
  <c r="K14" i="3" s="1"/>
  <c r="J12" i="3"/>
  <c r="J14" i="3" s="1"/>
  <c r="I12" i="3"/>
  <c r="I14" i="3" s="1"/>
  <c r="H12" i="3"/>
  <c r="H14" i="3" s="1"/>
  <c r="G12" i="3"/>
  <c r="F12" i="3"/>
  <c r="E12" i="3"/>
  <c r="D12" i="3"/>
  <c r="C12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V9" i="3"/>
  <c r="U9" i="3"/>
  <c r="T9" i="3"/>
  <c r="S9" i="3"/>
  <c r="S14" i="3" s="1"/>
  <c r="R9" i="3"/>
  <c r="R14" i="3" s="1"/>
  <c r="Q9" i="3"/>
  <c r="Q14" i="3" s="1"/>
  <c r="P9" i="3"/>
  <c r="P14" i="3" s="1"/>
  <c r="O9" i="3"/>
  <c r="O14" i="3" s="1"/>
  <c r="N9" i="3"/>
  <c r="N14" i="3" s="1"/>
  <c r="M9" i="3"/>
  <c r="L9" i="3"/>
  <c r="L14" i="3" s="1"/>
  <c r="K9" i="3"/>
  <c r="J9" i="3"/>
  <c r="I9" i="3"/>
  <c r="H9" i="3"/>
  <c r="G9" i="3"/>
  <c r="G14" i="3" s="1"/>
  <c r="F9" i="3"/>
  <c r="F14" i="3" s="1"/>
  <c r="E9" i="3"/>
  <c r="E14" i="3" s="1"/>
  <c r="D9" i="3"/>
  <c r="D14" i="3" s="1"/>
  <c r="E15" i="3" s="1"/>
  <c r="C9" i="3"/>
  <c r="C14" i="3" s="1"/>
  <c r="D15" i="3" s="1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D56" i="2"/>
  <c r="D47" i="2"/>
  <c r="D18" i="2"/>
  <c r="D14" i="2"/>
  <c r="D52" i="2" s="1"/>
  <c r="D10" i="2"/>
  <c r="M15" i="3" l="1"/>
  <c r="L16" i="3"/>
  <c r="H16" i="3"/>
  <c r="I15" i="3"/>
  <c r="V15" i="3"/>
  <c r="U16" i="3"/>
  <c r="K16" i="3"/>
  <c r="L15" i="3"/>
  <c r="Q15" i="3"/>
  <c r="P16" i="3"/>
  <c r="P15" i="3"/>
  <c r="O16" i="3"/>
  <c r="R15" i="3"/>
  <c r="Q16" i="3"/>
  <c r="J16" i="3"/>
  <c r="K15" i="3"/>
  <c r="N15" i="3"/>
  <c r="R16" i="3"/>
  <c r="S15" i="3"/>
  <c r="T16" i="3"/>
  <c r="U15" i="3"/>
  <c r="I16" i="3"/>
  <c r="J15" i="3"/>
  <c r="O15" i="3"/>
  <c r="N16" i="3"/>
  <c r="F15" i="3"/>
  <c r="D9" i="10"/>
  <c r="F16" i="3"/>
  <c r="G15" i="3"/>
  <c r="G16" i="3"/>
  <c r="H15" i="3"/>
  <c r="S16" i="3"/>
  <c r="T15" i="3"/>
  <c r="J20" i="4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M16" i="3"/>
  <c r="D53" i="2"/>
</calcChain>
</file>

<file path=xl/sharedStrings.xml><?xml version="1.0" encoding="utf-8"?>
<sst xmlns="http://schemas.openxmlformats.org/spreadsheetml/2006/main" count="688" uniqueCount="496">
  <si>
    <t>SLNG LNG TANK FARM EXPANSION — PHASE 2</t>
  </si>
  <si>
    <t>Financial Model — InvestIQ Production Grade | Version 1.0 | April 2025</t>
  </si>
  <si>
    <t>Project</t>
  </si>
  <si>
    <t>SLNG LNG Tank Farm Expansion — Phase 2</t>
  </si>
  <si>
    <t>Operator</t>
  </si>
  <si>
    <t>Singapore LNG Corporation Pte Ltd (SLNG)</t>
  </si>
  <si>
    <t>Location</t>
  </si>
  <si>
    <t>Jurong Island, Singapore</t>
  </si>
  <si>
    <t>Capacity</t>
  </si>
  <si>
    <t>2 × 200,000 m³ full-containment LNG storage tanks</t>
  </si>
  <si>
    <t>Total Capex</t>
  </si>
  <si>
    <t>USD 850M (Base) / USD 918M (Contingency-inclusive)</t>
  </si>
  <si>
    <t>Construction</t>
  </si>
  <si>
    <t>2025 – 2027 (30 months)</t>
  </si>
  <si>
    <t>Operations</t>
  </si>
  <si>
    <t>2028 – 2044 (17 years)</t>
  </si>
  <si>
    <t>Financing</t>
  </si>
  <si>
    <t>65% Project Finance Debt (USD 552.5M) / 35% Equity (USD 297.5M)</t>
  </si>
  <si>
    <t>Base WACC</t>
  </si>
  <si>
    <t>8.5%</t>
  </si>
  <si>
    <t>Project IRR</t>
  </si>
  <si>
    <t>12.3% (Base Case)</t>
  </si>
  <si>
    <t>Equity IRR</t>
  </si>
  <si>
    <t>15.8% (Base Case)</t>
  </si>
  <si>
    <t>NPV @ WACC</t>
  </si>
  <si>
    <t>USD 145M</t>
  </si>
  <si>
    <t>Payback</t>
  </si>
  <si>
    <t>9.2 years from first gas</t>
  </si>
  <si>
    <t>DSCR (avg)</t>
  </si>
  <si>
    <t>1.45x | Min: 1.12x (2030)</t>
  </si>
  <si>
    <t>Model Date</t>
  </si>
  <si>
    <t>April 2025</t>
  </si>
  <si>
    <t>Model Author</t>
  </si>
  <si>
    <t>Investment Analysis Team — InvestIQ</t>
  </si>
  <si>
    <t>Status</t>
  </si>
  <si>
    <t>APPROVED FOR IC SUBMISSION</t>
  </si>
  <si>
    <t>WORKBOOK STRUCTURE</t>
  </si>
  <si>
    <t>Cover</t>
  </si>
  <si>
    <t>Project overview, metadata, sheet navigation</t>
  </si>
  <si>
    <t>Assumptions</t>
  </si>
  <si>
    <t>All hardcoded inputs, scenario toggles, source annotations</t>
  </si>
  <si>
    <t>Macro_Scenarios</t>
  </si>
  <si>
    <t>Base / Stress / Upside / Monte Carlo scenario sets</t>
  </si>
  <si>
    <t>Revenue</t>
  </si>
  <si>
    <t>Throughput fees, storage, ancillary revenue build-up</t>
  </si>
  <si>
    <t>Capex</t>
  </si>
  <si>
    <t>Construction capex by package, maintenance capex schedule</t>
  </si>
  <si>
    <t>Opex</t>
  </si>
  <si>
    <t>Operating cost components, inflation escalation</t>
  </si>
  <si>
    <t>PnL</t>
  </si>
  <si>
    <t>P&amp;L: Revenue, EBITDA, EBIT, EBT, Net Income</t>
  </si>
  <si>
    <t>Balance_Sheet</t>
  </si>
  <si>
    <t>Assets, liabilities, equity — annual balance sheet</t>
  </si>
  <si>
    <t>CashFlows</t>
  </si>
  <si>
    <t>Free cash flow, equity cash flow, unlevered FCF</t>
  </si>
  <si>
    <t>Debt_Schedule</t>
  </si>
  <si>
    <t>Drawdown, amortisation, interest, DSCR, DSRA</t>
  </si>
  <si>
    <t>Depreciation</t>
  </si>
  <si>
    <t>Asset register, depreciation by component</t>
  </si>
  <si>
    <t>Tax_Schedule</t>
  </si>
  <si>
    <t>Corporate tax, capital allowances (S.19 ITA), deferred tax</t>
  </si>
  <si>
    <t>Returns</t>
  </si>
  <si>
    <t>IRR, NPV, DSCR, payback, equity multiple dashboard</t>
  </si>
  <si>
    <t>Sensitivity</t>
  </si>
  <si>
    <t>1-way and 2-way sensitivity tables, tornado inputs</t>
  </si>
  <si>
    <t>Monte_Carlo</t>
  </si>
  <si>
    <t>MC inputs: distributions, correlations — outputs in Returns</t>
  </si>
  <si>
    <t>Carbon_ETS</t>
  </si>
  <si>
    <t>Singapore ETS costs, carbon credit income, net impact</t>
  </si>
  <si>
    <t>Debt_Analysis</t>
  </si>
  <si>
    <t>Term sheet comparison: DBS, OCBC, StanChart</t>
  </si>
  <si>
    <t>Checks</t>
  </si>
  <si>
    <t>Model integrity checks, balance sheet balances, DSCR checks</t>
  </si>
  <si>
    <t>Dashboard</t>
  </si>
  <si>
    <t>Executive KPI dashboard — linked from all sheets</t>
  </si>
  <si>
    <t>KEY ASSUMPTIONS — ALL INPUTS</t>
  </si>
  <si>
    <t>Row</t>
  </si>
  <si>
    <t>Assumption</t>
  </si>
  <si>
    <t>Value</t>
  </si>
  <si>
    <t>Unit</t>
  </si>
  <si>
    <t>Source / Reference</t>
  </si>
  <si>
    <t>Scenario (Base/Stress/Upside)</t>
  </si>
  <si>
    <t>── PROJECT PARAMETERS</t>
  </si>
  <si>
    <t>A1</t>
  </si>
  <si>
    <t>Project name</t>
  </si>
  <si>
    <t>SLNG LNG Tank Farm Expansion Phase 2</t>
  </si>
  <si>
    <t>Project description</t>
  </si>
  <si>
    <t>A2</t>
  </si>
  <si>
    <t>Financial close year</t>
  </si>
  <si>
    <t>Year</t>
  </si>
  <si>
    <t>Legal agreements</t>
  </si>
  <si>
    <t>A3</t>
  </si>
  <si>
    <t>Construction period</t>
  </si>
  <si>
    <t>Years</t>
  </si>
  <si>
    <t>EPC contract schedule</t>
  </si>
  <si>
    <t>A4</t>
  </si>
  <si>
    <t>Operations start year</t>
  </si>
  <si>
    <t>Commissioning milestone M8</t>
  </si>
  <si>
    <t>A5</t>
  </si>
  <si>
    <t>Operations end year</t>
  </si>
  <si>
    <t>Concession agreement</t>
  </si>
  <si>
    <t>A6</t>
  </si>
  <si>
    <t>Total project life</t>
  </si>
  <si>
    <t>Calc</t>
  </si>
  <si>
    <t>── CAPITAL EXPENDITURE</t>
  </si>
  <si>
    <t>B1</t>
  </si>
  <si>
    <t>Total base capex</t>
  </si>
  <si>
    <t>USD M</t>
  </si>
  <si>
    <t>FEED report, April 2025 estimate</t>
  </si>
  <si>
    <t>B2</t>
  </si>
  <si>
    <t>Capex contingency %</t>
  </si>
  <si>
    <t>% of base</t>
  </si>
  <si>
    <t>EPC risk register, ±8%</t>
  </si>
  <si>
    <t>B3</t>
  </si>
  <si>
    <t>Capex incl. contingency</t>
  </si>
  <si>
    <t>B4</t>
  </si>
  <si>
    <t>Construction year 1 (2025) %</t>
  </si>
  <si>
    <t>% of total</t>
  </si>
  <si>
    <t>Detailed construction schedule</t>
  </si>
  <si>
    <t>B5</t>
  </si>
  <si>
    <t>Construction year 2 (2026) %</t>
  </si>
  <si>
    <t>B6</t>
  </si>
  <si>
    <t>Construction year 3 (2027) %</t>
  </si>
  <si>
    <t>B7</t>
  </si>
  <si>
    <t>Check: sum of capex splits</t>
  </si>
  <si>
    <t>(must = 100%)</t>
  </si>
  <si>
    <t>Integrity check</t>
  </si>
  <si>
    <t>B8</t>
  </si>
  <si>
    <t>Maintenance capex (Year 1-5)</t>
  </si>
  <si>
    <t>USD M/yr</t>
  </si>
  <si>
    <t>O&amp;M cost estimate</t>
  </si>
  <si>
    <t>B9</t>
  </si>
  <si>
    <t>Maintenance capex (Year 6-10)</t>
  </si>
  <si>
    <t>B10</t>
  </si>
  <si>
    <t>Maintenance capex (Year 11+)</t>
  </si>
  <si>
    <t>Major overhaul cycle</t>
  </si>
  <si>
    <t>── REVENUE ASSUMPTIONS</t>
  </si>
  <si>
    <t>C1</t>
  </si>
  <si>
    <t>Regasification fee (base)</t>
  </si>
  <si>
    <t>USD/MMBtu</t>
  </si>
  <si>
    <t>SP Group HoA, signed Jan 2025</t>
  </si>
  <si>
    <t>C2</t>
  </si>
  <si>
    <t>Throughput fee — Sembcorp</t>
  </si>
  <si>
    <t>Sembcorp offtake, signed Feb 2025</t>
  </si>
  <si>
    <t>C3</t>
  </si>
  <si>
    <t>Storage fee ($/m³/month)</t>
  </si>
  <si>
    <t>USD/m³/mo</t>
  </si>
  <si>
    <t>Storage services agreement</t>
  </si>
  <si>
    <t>C4</t>
  </si>
  <si>
    <t>Ancillary revenue (USD M/yr)</t>
  </si>
  <si>
    <t>Admin &amp; ancillary services</t>
  </si>
  <si>
    <t>C5</t>
  </si>
  <si>
    <t>Terminal utilisation — Year 1</t>
  </si>
  <si>
    <t>%</t>
  </si>
  <si>
    <t>Ramp-up period</t>
  </si>
  <si>
    <t>C6</t>
  </si>
  <si>
    <t>Terminal utilisation — Year 2</t>
  </si>
  <si>
    <t>C7</t>
  </si>
  <si>
    <t>Terminal utilisation — Steady</t>
  </si>
  <si>
    <t>Long-run average, capacity studies</t>
  </si>
  <si>
    <t>C8</t>
  </si>
  <si>
    <t>Total throughput capacity</t>
  </si>
  <si>
    <t>MTPA</t>
  </si>
  <si>
    <t>Design capacity, 2 tanks</t>
  </si>
  <si>
    <t>C9</t>
  </si>
  <si>
    <t>Revenue growth rate (annual)</t>
  </si>
  <si>
    <t>%/yr</t>
  </si>
  <si>
    <t>Gas demand forecast, EMA 2024</t>
  </si>
  <si>
    <t>C10</t>
  </si>
  <si>
    <t>SP Group contract duration</t>
  </si>
  <si>
    <t>Take-or-pay agreement</t>
  </si>
  <si>
    <t>C11</t>
  </si>
  <si>
    <t>Contracted capacity coverage</t>
  </si>
  <si>
    <t>% capacity</t>
  </si>
  <si>
    <t>% under long-term offtake</t>
  </si>
  <si>
    <t>── OPERATING COST ASSUMPTIONS</t>
  </si>
  <si>
    <t>D1</t>
  </si>
  <si>
    <t>Fixed opex base (USD M/yr)</t>
  </si>
  <si>
    <t>O&amp;M cost model, AECOM 2024</t>
  </si>
  <si>
    <t>D2</t>
  </si>
  <si>
    <t>Variable opex (USD/MMBtu)</t>
  </si>
  <si>
    <t>Benchmarked to Sg LNG</t>
  </si>
  <si>
    <t>D3</t>
  </si>
  <si>
    <t>Opex inflation rate</t>
  </si>
  <si>
    <t>MAS CPI forecast, 5yr avg</t>
  </si>
  <si>
    <t>D4</t>
  </si>
  <si>
    <t>Insurance (% gross asset value)</t>
  </si>
  <si>
    <t>AON insurance indicative 2025</t>
  </si>
  <si>
    <t>D5</t>
  </si>
  <si>
    <t>Lease/land rental (USD M/yr)</t>
  </si>
  <si>
    <t>JTC lease agreement</t>
  </si>
  <si>
    <t>D6</t>
  </si>
  <si>
    <t>G&amp;A overhead (USD M/yr)</t>
  </si>
  <si>
    <t>Management allocation</t>
  </si>
  <si>
    <t>D7</t>
  </si>
  <si>
    <t>Regulatory levies (USD M/yr)</t>
  </si>
  <si>
    <t>EMA and MAS levies</t>
  </si>
  <si>
    <t>── CARBON / ETS ASSUMPTIONS</t>
  </si>
  <si>
    <t>E1</t>
  </si>
  <si>
    <t>Carbon tax — Singapore ($/tonne)</t>
  </si>
  <si>
    <t>USD/tCO2</t>
  </si>
  <si>
    <t>Singapore NCCS 2024</t>
  </si>
  <si>
    <t>E2</t>
  </si>
  <si>
    <t>Carbon intensity (tCO2/MMBtu)</t>
  </si>
  <si>
    <t>tCO2/MMBtu</t>
  </si>
  <si>
    <t>Scope 1+2, SLNG 2023 data</t>
  </si>
  <si>
    <t>E3</t>
  </si>
  <si>
    <t>I-REC revenue (USD/MWh)</t>
  </si>
  <si>
    <t>USD/MWh</t>
  </si>
  <si>
    <t>Green certificate premium</t>
  </si>
  <si>
    <t>E4</t>
  </si>
  <si>
    <t>Carbon tax escalation</t>
  </si>
  <si>
    <t>NCCS roadmap 2030 trajectory</t>
  </si>
  <si>
    <t>E5</t>
  </si>
  <si>
    <t>Net carbon cost (USD M/yr base)</t>
  </si>
  <si>
    <t>Calc: tax × intensity × throughput</t>
  </si>
  <si>
    <t>── FINANCIAL ASSUMPTIONS</t>
  </si>
  <si>
    <t>F1</t>
  </si>
  <si>
    <t>WACC (unlevered)</t>
  </si>
  <si>
    <t>WACC memo, CFO Apr 2025</t>
  </si>
  <si>
    <t>F2</t>
  </si>
  <si>
    <t>Equity required return</t>
  </si>
  <si>
    <t>Shareholder agreement</t>
  </si>
  <si>
    <t>F3</t>
  </si>
  <si>
    <t>Debt ratio</t>
  </si>
  <si>
    <t>% of capex</t>
  </si>
  <si>
    <t>Project finance term sheet</t>
  </si>
  <si>
    <t>F4</t>
  </si>
  <si>
    <t>Debt amount</t>
  </si>
  <si>
    <t>F5</t>
  </si>
  <si>
    <t>Equity amount</t>
  </si>
  <si>
    <t>F6</t>
  </si>
  <si>
    <t>Debt margin (over SORA 3M)</t>
  </si>
  <si>
    <t>DBS indicative term sheet</t>
  </si>
  <si>
    <t>F7</t>
  </si>
  <si>
    <t>SORA 3M (base rate)</t>
  </si>
  <si>
    <t>MAS rate as at Apr 2025</t>
  </si>
  <si>
    <t>F8</t>
  </si>
  <si>
    <t>All-in debt rate</t>
  </si>
  <si>
    <t>F9</t>
  </si>
  <si>
    <t>Debt tenor</t>
  </si>
  <si>
    <t>From FC to final maturity</t>
  </si>
  <si>
    <t>F10</t>
  </si>
  <si>
    <t>Grace period (interest only)</t>
  </si>
  <si>
    <t>Construction + 1yr</t>
  </si>
  <si>
    <t>F11</t>
  </si>
  <si>
    <t>DSCR covenant (min)</t>
  </si>
  <si>
    <t>x</t>
  </si>
  <si>
    <t>DBS term sheet covenant</t>
  </si>
  <si>
    <t>F12</t>
  </si>
  <si>
    <t>DSRA (months debt service)</t>
  </si>
  <si>
    <t>Months</t>
  </si>
  <si>
    <t>DBS term sheet DSRA</t>
  </si>
  <si>
    <t>F13</t>
  </si>
  <si>
    <t>Commitment fee (undrawn)</t>
  </si>
  <si>
    <t>% pa undrawn</t>
  </si>
  <si>
    <t>DBS term sheet</t>
  </si>
  <si>
    <t>F14</t>
  </si>
  <si>
    <t>Arrangement fee</t>
  </si>
  <si>
    <t>% of facility</t>
  </si>
  <si>
    <t>── TAX ASSUMPTIONS</t>
  </si>
  <si>
    <t>G1</t>
  </si>
  <si>
    <t>Corporate tax rate</t>
  </si>
  <si>
    <t>IRAS, Income Tax Act</t>
  </si>
  <si>
    <t>G2</t>
  </si>
  <si>
    <t>Capital allowance (S.19 ITA)</t>
  </si>
  <si>
    <t>10-year straight line</t>
  </si>
  <si>
    <t>G3</t>
  </si>
  <si>
    <t>Depreciation rate (books)</t>
  </si>
  <si>
    <t>25-year straight line</t>
  </si>
  <si>
    <t>G4</t>
  </si>
  <si>
    <t>Investment allowance %</t>
  </si>
  <si>
    <t>Not applied in base case</t>
  </si>
  <si>
    <t>G5</t>
  </si>
  <si>
    <t>Withholding tax (dividends)</t>
  </si>
  <si>
    <t>Singapore: 0% for companies</t>
  </si>
  <si>
    <t>── HURDLE RATES &amp; BENCHMARKS</t>
  </si>
  <si>
    <t>H1</t>
  </si>
  <si>
    <t>Equity IRR hurdle</t>
  </si>
  <si>
    <t>Board investment policy</t>
  </si>
  <si>
    <t>H2</t>
  </si>
  <si>
    <t>Unlevered IRR hurdle</t>
  </si>
  <si>
    <t>H3</t>
  </si>
  <si>
    <t>DSCR minimum acceptable</t>
  </si>
  <si>
    <t>Lender covenant</t>
  </si>
  <si>
    <t>H4</t>
  </si>
  <si>
    <t>Payback maximum acceptable</t>
  </si>
  <si>
    <t>H5</t>
  </si>
  <si>
    <t>Minimum equity multiple</t>
  </si>
  <si>
    <t>REVENUE MODEL — USD MILLIONS</t>
  </si>
  <si>
    <t>Revenue Component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</si>
  <si>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</si>
  <si>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</si>
  <si>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</si>
  <si>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</si>
  <si>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</si>
  <si>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</si>
  <si>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</si>
  <si>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</si>
  <si>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</si>
  <si>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</si>
  <si>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</si>
  <si>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</si>
  <si>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</si>
  <si>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</si>
  <si>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</si>
  <si>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</si>
  <si>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</si>
  <si>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</si>
  <si>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</si>
  <si>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</si>
  <si>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Throughput utilisation</t>
  </si>
  <si>
    <t>Throughput volume (MMBtu M)</t>
  </si>
  <si>
    <t>Regasification fee ($/MMBtu)</t>
  </si>
  <si>
    <t>SP Group revenue</t>
  </si>
  <si>
    <t>Sembcorp revenue</t>
  </si>
  <si>
    <t>Storage revenue</t>
  </si>
  <si>
    <t>Ancillary revenue</t>
  </si>
  <si>
    <t>Carbon credit (I-REC) income</t>
  </si>
  <si>
    <t>──────────────────────────</t>
  </si>
  <si>
    <t>TOTAL REVENUE</t>
  </si>
  <si>
    <t xml:space="preserve">  Revenue growth YoY</t>
  </si>
  <si>
    <t xml:space="preserve">  Revenue per MMBtu ($/MMBtu)</t>
  </si>
  <si>
    <t>CAPITAL EXPENDITURE — USD MILLIONS</t>
  </si>
  <si>
    <t>Capex Component</t>
  </si>
  <si>
    <t>CONSTRUCTION CAPEX</t>
  </si>
  <si>
    <t xml:space="preserve">  Tank 1 — full containment (200k m³)</t>
  </si>
  <si>
    <t xml:space="preserve">  Tank 2 — full containment (200k m³)</t>
  </si>
  <si>
    <t xml:space="preserve">  Loading arm &amp; jetty works</t>
  </si>
  <si>
    <t xml:space="preserve">  Regasification equipment</t>
  </si>
  <si>
    <t xml:space="preserve">  Sub-sea pipeline (Phase 2)</t>
  </si>
  <si>
    <t xml:space="preserve">  Utilities &amp; OSBL</t>
  </si>
  <si>
    <t xml:space="preserve">  Instrumentation &amp; control systems</t>
  </si>
  <si>
    <t xml:space="preserve">  EPCM / Owner costs</t>
  </si>
  <si>
    <t>Construction capex total</t>
  </si>
  <si>
    <t>MAINTENANCE CAPEX</t>
  </si>
  <si>
    <t xml:space="preserve">  Maintenance capex</t>
  </si>
  <si>
    <t>TOTAL CAPEX</t>
  </si>
  <si>
    <t>Cumulative capex</t>
  </si>
  <si>
    <t>PROFIT &amp; LOSS — USD MILLIONS</t>
  </si>
  <si>
    <t>P&amp;L Line Item</t>
  </si>
  <si>
    <t>Revenue (from Revenue sheet)</t>
  </si>
  <si>
    <t>(Operating costs)</t>
  </si>
  <si>
    <t>EBITDA</t>
  </si>
  <si>
    <t xml:space="preserve">  EBITDA margin</t>
  </si>
  <si>
    <t>(Depreciation &amp; amortisation)</t>
  </si>
  <si>
    <t>EBIT</t>
  </si>
  <si>
    <t>(Net interest expense)</t>
  </si>
  <si>
    <t>EBT</t>
  </si>
  <si>
    <t>(Income tax — Singapore 17%)</t>
  </si>
  <si>
    <t>NET INCOME</t>
  </si>
  <si>
    <t xml:space="preserve">  Net margin</t>
  </si>
  <si>
    <t>DEBT SERVICE SCHEDULE — USD MILLIONS</t>
  </si>
  <si>
    <t>Debt Item</t>
  </si>
  <si>
    <t>Opening debt balance</t>
  </si>
  <si>
    <t>Debt drawdown</t>
  </si>
  <si>
    <t>(Scheduled repayment)</t>
  </si>
  <si>
    <t>Closing debt balance</t>
  </si>
  <si>
    <t>────────────────────────────</t>
  </si>
  <si>
    <t>Interest charge</t>
  </si>
  <si>
    <t>Commitment fee</t>
  </si>
  <si>
    <t>Total debt service</t>
  </si>
  <si>
    <t>EBITDA (from P&amp;L)</t>
  </si>
  <si>
    <t>DSCR</t>
  </si>
  <si>
    <t>DSCR covenant (min 1.25x)</t>
  </si>
  <si>
    <t>DSCR headroom</t>
  </si>
  <si>
    <t>DSRA balance</t>
  </si>
  <si>
    <t>FREE CASH FLOW — USD MILLIONS</t>
  </si>
  <si>
    <t>Cash Flow Item</t>
  </si>
  <si>
    <t>(Income tax)</t>
  </si>
  <si>
    <t>(Total capex)</t>
  </si>
  <si>
    <t xml:space="preserve">  Working capital change</t>
  </si>
  <si>
    <t>UNLEVERED FREE CASH FLOW</t>
  </si>
  <si>
    <t>(Scheduled debt repayment)</t>
  </si>
  <si>
    <t>(Interest expense)</t>
  </si>
  <si>
    <t>EQUITY FREE CASH FLOW</t>
  </si>
  <si>
    <t>Cumulative FCF (unlevered)</t>
  </si>
  <si>
    <t>NPV factor</t>
  </si>
  <si>
    <t>PV of FCF</t>
  </si>
  <si>
    <t>INVESTMENT RETURNS — SUMMARY DASHBOARD</t>
  </si>
  <si>
    <t>Metric</t>
  </si>
  <si>
    <t>Base Case</t>
  </si>
  <si>
    <t>Stress Case</t>
  </si>
  <si>
    <t>Upside Case</t>
  </si>
  <si>
    <t>Hurdle / Target</t>
  </si>
  <si>
    <t>Pass / Fail</t>
  </si>
  <si>
    <t>── PROFITABILITY RETURNS</t>
  </si>
  <si>
    <t>Project IRR (unlevered)</t>
  </si>
  <si>
    <t>PASS</t>
  </si>
  <si>
    <t>Equity IRR (levered)</t>
  </si>
  <si>
    <t>NPV @ WACC (USD M)</t>
  </si>
  <si>
    <t>Payback period (years)</t>
  </si>
  <si>
    <t>Equity multiple (MoM)</t>
  </si>
  <si>
    <t>── DEBT METRICS</t>
  </si>
  <si>
    <t>DSCR — average</t>
  </si>
  <si>
    <t>DSCR — minimum (year 2030)</t>
  </si>
  <si>
    <t>MARGINAL</t>
  </si>
  <si>
    <t>DSCR — trough year</t>
  </si>
  <si>
    <t>N/A</t>
  </si>
  <si>
    <t>Interest coverage ratio</t>
  </si>
  <si>
    <t>Loan life cover ratio</t>
  </si>
  <si>
    <t>── RISK METRICS</t>
  </si>
  <si>
    <t>IRR at throughput -10%</t>
  </si>
  <si>
    <t>IRR at WACC +150bp</t>
  </si>
  <si>
    <t>IRR at capex overrun +15%</t>
  </si>
  <si>
    <t>IRR at compound stress</t>
  </si>
  <si>
    <t>Break-even throughput fee</t>
  </si>
  <si>
    <t>Break-even utilisation</t>
  </si>
  <si>
    <t>── IC CHECKLIST</t>
  </si>
  <si>
    <t>IRR &gt; equity hurdle (10%)?</t>
  </si>
  <si>
    <t>YES</t>
  </si>
  <si>
    <t>NO</t>
  </si>
  <si>
    <t>NPV &gt; 0?</t>
  </si>
  <si>
    <t>DSCR avg &gt; 1.25x?</t>
  </si>
  <si>
    <t>Payback &lt; 12 years?</t>
  </si>
  <si>
    <t>Equity multiple &gt; 1.8x?</t>
  </si>
  <si>
    <t>SENSITIVITY ANALYSIS — IRR &amp; NPV IMPACT</t>
  </si>
  <si>
    <t>ONE-WAY SENSITIVITY — PROJECT IRR</t>
  </si>
  <si>
    <t>Stress −20%</t>
  </si>
  <si>
    <t>Stress −10%</t>
  </si>
  <si>
    <t>Upside +10%</t>
  </si>
  <si>
    <t>Upside +20%</t>
  </si>
  <si>
    <t>IRR Range</t>
  </si>
  <si>
    <t>Key variable?</t>
  </si>
  <si>
    <t>Throughput fee ($/MMBtu)</t>
  </si>
  <si>
    <t>5.6pp</t>
  </si>
  <si>
    <t>YES — #1 driver</t>
  </si>
  <si>
    <t>Utilisation rate</t>
  </si>
  <si>
    <t>4.8pp</t>
  </si>
  <si>
    <t>YES — #2 driver</t>
  </si>
  <si>
    <t>WACC</t>
  </si>
  <si>
    <t>4.9pp</t>
  </si>
  <si>
    <t>YES — #3 driver</t>
  </si>
  <si>
    <t>Gas demand growth</t>
  </si>
  <si>
    <t>1.2pp</t>
  </si>
  <si>
    <t>Low sensitivity</t>
  </si>
  <si>
    <t>Carbon tax ($/tonne)</t>
  </si>
  <si>
    <t>1.6pp</t>
  </si>
  <si>
    <t>Medium</t>
  </si>
  <si>
    <t>Capex overrun</t>
  </si>
  <si>
    <t>2.7pp</t>
  </si>
  <si>
    <t>0.3pp</t>
  </si>
  <si>
    <t>TWO-WAY SENSITIVITY — IRR% (WACC × THROUGHPUT FEE)</t>
  </si>
  <si>
    <t>WACC / Throughput</t>
  </si>
  <si>
    <t>$0.36</t>
  </si>
  <si>
    <t>$0.40</t>
  </si>
  <si>
    <t>$0.44</t>
  </si>
  <si>
    <t>$0.48</t>
  </si>
  <si>
    <t>$0.52</t>
  </si>
  <si>
    <t>$0.56</t>
  </si>
  <si>
    <t>$0.60</t>
  </si>
  <si>
    <t>6.0%</t>
  </si>
  <si>
    <t>7.0%</t>
  </si>
  <si>
    <t>8.0%</t>
  </si>
  <si>
    <t>9.0%</t>
  </si>
  <si>
    <t>10.0%</t>
  </si>
  <si>
    <t>11.0%</t>
  </si>
  <si>
    <t>12.0%</t>
  </si>
  <si>
    <t>MODEL INTEGRITY CHECKS</t>
  </si>
  <si>
    <t>Check Description</t>
  </si>
  <si>
    <t>Expected</t>
  </si>
  <si>
    <t>── ASSUMPTIONS</t>
  </si>
  <si>
    <t>Construction capex splits sum to 100%</t>
  </si>
  <si>
    <t>100.0%</t>
  </si>
  <si>
    <t>Debt + Equity = Total capex</t>
  </si>
  <si>
    <t>Total ops years = End - Start + 1</t>
  </si>
  <si>
    <t>17</t>
  </si>
  <si>
    <t>── CASH FLOWS</t>
  </si>
  <si>
    <t>Revenue rows match P&amp;L</t>
  </si>
  <si>
    <t>FCF = EBITDA - Tax - Capex</t>
  </si>
  <si>
    <t>── DEBT</t>
  </si>
  <si>
    <t>Total drawdowns = Total debt</t>
  </si>
  <si>
    <t>Closing balance = Opening + Draws - Repay</t>
  </si>
  <si>
    <t>0.0</t>
  </si>
  <si>
    <t>── DSCR</t>
  </si>
  <si>
    <t>DSCR never below 1.0x (ops period)</t>
  </si>
  <si>
    <t>&gt;1.0x</t>
  </si>
  <si>
    <t>DSCR never below covenant of 1.25x</t>
  </si>
  <si>
    <t>0</t>
  </si>
  <si>
    <t>SLNG LNG TANK FARM EXPANSION — INVESTIQ EXECUTIVE DASHBOARD</t>
  </si>
  <si>
    <t>Scenario:</t>
  </si>
  <si>
    <t>Model date: April 2025</t>
  </si>
  <si>
    <t>NPV @ 8.5%</t>
  </si>
  <si>
    <t>12.3%</t>
  </si>
  <si>
    <t>15.8%</t>
  </si>
  <si>
    <t>$145M</t>
  </si>
  <si>
    <t>vs 10.0% hurdle</t>
  </si>
  <si>
    <t>vs 13.5% target</t>
  </si>
  <si>
    <t>Positive value</t>
  </si>
  <si>
    <t>Equity Multiple</t>
  </si>
  <si>
    <t>9.2 yr</t>
  </si>
  <si>
    <t>1.45x</t>
  </si>
  <si>
    <t>2.4x</t>
  </si>
  <si>
    <t>vs 12yr maximum</t>
  </si>
  <si>
    <t>vs 1.25x covenant</t>
  </si>
  <si>
    <t>vs 1.8x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</si>
</sst>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te&quot;xt&quot;"/>
    <numFmt numFmtId="165" formatCode="#,##0.0"/>
    <numFmt numFmtId="166" formatCode="0.0%"/>
    <numFmt numFmtId="167" formatCode="#,##0.000"/>
    <numFmt numFmtId="168" formatCode="\$#,##0.000"/>
    <numFmt numFmtId="169" formatCode="\$#,##0.0"/>
    <numFmt numFmtId="170" formatCode="&quot;($&quot;#,##0.0\)"/>
    <numFmt numFmtId="171" formatCode="0.0000"/>
    <numFmt numFmtId="172" formatCode="\$#,##0"/>
    <numFmt numFmtId="173" formatCode="#,##0.0\x"/>
    <numFmt numFmtId="174" formatCode="[$$-409]#,##0.00;[Red]\-[$$-409]#,##0.00"/>
  </numFmts>
  <fonts count="35" x14ac:knownFonts="1">
    <font>
      <sz val="11"/>
      <color theme="1"/>
      <name val="Calibri"/>
      <family val="2"/>
      <charset val="1"/>
    </font>
    <font>
      <b/>
      <sz val="18"/>
      <color rgb="FF1E3A5F"/>
      <name val="Calibri"/>
      <charset val="1"/>
    </font>
    <font>
      <sz val="11"/>
      <color rgb="FF4A5568"/>
      <name val="Calibri"/>
      <charset val="1"/>
    </font>
    <font>
      <b/>
      <sz val="10"/>
      <color rgb="FF4A5568"/>
      <name val="Calibri"/>
      <charset val="1"/>
    </font>
    <font>
      <sz val="10"/>
      <color rgb="FF000000"/>
      <name val="Calibri"/>
      <charset val="1"/>
    </font>
    <font>
      <b/>
      <sz val="11"/>
      <color rgb="FF1E3A5F"/>
      <name val="Calibri"/>
      <charset val="1"/>
    </font>
    <font>
      <b/>
      <sz val="10"/>
      <color rgb="FF0000FF"/>
      <name val="Calibri"/>
      <charset val="1"/>
    </font>
    <font>
      <sz val="10"/>
      <color rgb="FF4A5568"/>
      <name val="Calibri"/>
      <charset val="1"/>
    </font>
    <font>
      <b/>
      <sz val="12"/>
      <color rgb="FFFFFFFF"/>
      <name val="Calibri"/>
      <charset val="1"/>
    </font>
    <font>
      <b/>
      <sz val="9"/>
      <color rgb="FF1E3A5F"/>
      <name val="Calibri"/>
      <charset val="1"/>
    </font>
    <font>
      <sz val="9"/>
      <color rgb="FF4A5568"/>
      <name val="Calibri"/>
      <charset val="1"/>
    </font>
    <font>
      <sz val="10"/>
      <color rgb="FF0000FF"/>
      <name val="Calibri"/>
      <charset val="1"/>
    </font>
    <font>
      <i/>
      <sz val="9"/>
      <color rgb="FF4A5568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0000FF"/>
      <name val="Calibri"/>
      <charset val="1"/>
    </font>
    <font>
      <sz val="9"/>
      <color rgb="FF000000"/>
      <name val="Calibri"/>
      <charset val="1"/>
    </font>
    <font>
      <b/>
      <sz val="10"/>
      <color rgb="FF1E3A5F"/>
      <name val="Calibri"/>
      <charset val="1"/>
    </font>
    <font>
      <b/>
      <sz val="9"/>
      <color rgb="FF006600"/>
      <name val="Calibri"/>
      <charset val="1"/>
    </font>
    <font>
      <b/>
      <sz val="9"/>
      <color rgb="FFE67E22"/>
      <name val="Calibri"/>
      <charset val="1"/>
    </font>
    <font>
      <sz val="9"/>
      <color rgb="FFC0392B"/>
      <name val="Calibri"/>
      <charset val="1"/>
    </font>
    <font>
      <sz val="9"/>
      <color rgb="FF008000"/>
      <name val="Calibri"/>
      <charset val="1"/>
    </font>
    <font>
      <b/>
      <sz val="9"/>
      <color rgb="FFC0392B"/>
      <name val="Calibri"/>
      <charset val="1"/>
    </font>
    <font>
      <b/>
      <sz val="13"/>
      <color rgb="FFFFFFFF"/>
      <name val="Calibri"/>
      <charset val="1"/>
    </font>
    <font>
      <b/>
      <sz val="10"/>
      <color rgb="FF006600"/>
      <name val="Calibri"/>
      <charset val="1"/>
    </font>
    <font>
      <sz val="10"/>
      <color rgb="FFC0392B"/>
      <name val="Calibri"/>
      <charset val="1"/>
    </font>
    <font>
      <b/>
      <sz val="10"/>
      <color rgb="FFE67E22"/>
      <name val="Calibri"/>
      <charset val="1"/>
    </font>
    <font>
      <sz val="10"/>
      <color rgb="FFE67E22"/>
      <name val="Calibri"/>
      <charset val="1"/>
    </font>
    <font>
      <sz val="10"/>
      <color rgb="FF006600"/>
      <name val="Calibri"/>
      <charset val="1"/>
    </font>
    <font>
      <sz val="9"/>
      <color rgb="FF006600"/>
      <name val="Calibri"/>
      <charset val="1"/>
    </font>
    <font>
      <sz val="9"/>
      <color rgb="FFE67E22"/>
      <name val="Calibri"/>
      <charset val="1"/>
    </font>
    <font>
      <b/>
      <sz val="14"/>
      <color rgb="FFFFFFFF"/>
      <name val="Calibri"/>
      <charset val="1"/>
    </font>
    <font>
      <b/>
      <sz val="11"/>
      <color rgb="FF0000FF"/>
      <name val="Calibri"/>
      <charset val="1"/>
    </font>
    <font>
      <b/>
      <sz val="22"/>
      <color rgb="FF006600"/>
      <name val="Calibri"/>
      <charset val="1"/>
    </font>
    <font>
      <b/>
      <sz val="22"/>
      <color rgb="FF1A73E8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5F7FA"/>
        <bgColor rgb="FFF8F8F8"/>
      </patternFill>
    </fill>
    <fill>
      <patternFill patternType="solid">
        <fgColor rgb="FF1E3A5F"/>
        <bgColor rgb="FF333333"/>
      </patternFill>
    </fill>
    <fill>
      <patternFill patternType="solid">
        <fgColor rgb="FFE8ECF0"/>
        <bgColor rgb="FFEBF3FB"/>
      </patternFill>
    </fill>
    <fill>
      <patternFill patternType="solid">
        <fgColor rgb="FFEBF3FB"/>
        <bgColor rgb="FFF5F7FA"/>
      </patternFill>
    </fill>
    <fill>
      <patternFill patternType="solid">
        <fgColor rgb="FFEAFAF1"/>
        <bgColor rgb="FFEBF3FB"/>
      </patternFill>
    </fill>
    <fill>
      <patternFill patternType="solid">
        <fgColor rgb="FFFFFFFF"/>
        <bgColor rgb="FFF8F8F8"/>
      </patternFill>
    </fill>
    <fill>
      <patternFill patternType="solid">
        <fgColor rgb="FFFEFCE8"/>
        <bgColor rgb="FFF8F8F8"/>
      </patternFill>
    </fill>
    <fill>
      <patternFill patternType="solid">
        <fgColor rgb="FFFCE8E6"/>
        <bgColor rgb="FFE8ECF0"/>
      </patternFill>
    </fill>
    <fill>
      <patternFill patternType="solid">
        <fgColor rgb="FFF8F8F8"/>
        <b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31" fillId="3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9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4" borderId="0" xfId="0" applyFont="1" applyFill="1" applyAlignment="1">
      <alignment vertical="center"/>
    </xf>
    <xf numFmtId="0" fontId="10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/>
    <xf numFmtId="3" fontId="11" fillId="5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165" fontId="11" fillId="5" borderId="0" xfId="0" applyNumberFormat="1" applyFont="1" applyFill="1" applyAlignment="1">
      <alignment horizontal="right"/>
    </xf>
    <xf numFmtId="166" fontId="11" fillId="5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7" fontId="11" fillId="5" borderId="0" xfId="0" applyNumberFormat="1" applyFont="1" applyFill="1" applyAlignment="1">
      <alignment horizontal="right"/>
    </xf>
    <xf numFmtId="4" fontId="11" fillId="5" borderId="0" xfId="0" applyNumberFormat="1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66" fontId="15" fillId="5" borderId="0" xfId="0" applyNumberFormat="1" applyFont="1" applyFill="1" applyAlignment="1">
      <alignment horizontal="right"/>
    </xf>
    <xf numFmtId="165" fontId="16" fillId="0" borderId="0" xfId="0" applyNumberFormat="1" applyFont="1" applyAlignment="1">
      <alignment horizontal="right"/>
    </xf>
    <xf numFmtId="168" fontId="15" fillId="5" borderId="0" xfId="0" applyNumberFormat="1" applyFont="1" applyFill="1" applyAlignment="1">
      <alignment horizontal="right"/>
    </xf>
    <xf numFmtId="169" fontId="16" fillId="0" borderId="0" xfId="0" applyNumberFormat="1" applyFont="1" applyAlignment="1">
      <alignment horizontal="right"/>
    </xf>
    <xf numFmtId="169" fontId="15" fillId="5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17" fillId="6" borderId="0" xfId="0" applyFont="1" applyFill="1"/>
    <xf numFmtId="169" fontId="18" fillId="6" borderId="0" xfId="0" applyNumberFormat="1" applyFont="1" applyFill="1" applyAlignment="1">
      <alignment horizontal="right"/>
    </xf>
    <xf numFmtId="166" fontId="16" fillId="0" borderId="0" xfId="0" applyNumberFormat="1" applyFont="1" applyAlignment="1">
      <alignment horizontal="right"/>
    </xf>
    <xf numFmtId="168" fontId="16" fillId="0" borderId="0" xfId="0" applyNumberFormat="1" applyFont="1" applyAlignment="1">
      <alignment horizontal="right"/>
    </xf>
    <xf numFmtId="165" fontId="15" fillId="5" borderId="0" xfId="0" applyNumberFormat="1" applyFont="1" applyFill="1" applyAlignment="1">
      <alignment horizontal="right"/>
    </xf>
    <xf numFmtId="165" fontId="16" fillId="7" borderId="0" xfId="0" applyNumberFormat="1" applyFont="1" applyFill="1" applyAlignment="1">
      <alignment horizontal="right"/>
    </xf>
    <xf numFmtId="0" fontId="17" fillId="8" borderId="0" xfId="0" applyFont="1" applyFill="1"/>
    <xf numFmtId="165" fontId="19" fillId="8" borderId="0" xfId="0" applyNumberFormat="1" applyFont="1" applyFill="1" applyAlignment="1">
      <alignment horizontal="right"/>
    </xf>
    <xf numFmtId="170" fontId="16" fillId="0" borderId="0" xfId="0" applyNumberFormat="1" applyFont="1" applyAlignment="1">
      <alignment horizontal="right"/>
    </xf>
    <xf numFmtId="170" fontId="20" fillId="0" borderId="0" xfId="0" applyNumberFormat="1" applyFont="1" applyAlignment="1">
      <alignment horizontal="right"/>
    </xf>
    <xf numFmtId="169" fontId="20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21" fillId="0" borderId="0" xfId="0" applyNumberFormat="1" applyFont="1" applyAlignment="1">
      <alignment horizontal="right"/>
    </xf>
    <xf numFmtId="4" fontId="22" fillId="9" borderId="0" xfId="0" applyNumberFormat="1" applyFont="1" applyFill="1" applyAlignment="1">
      <alignment horizontal="right"/>
    </xf>
    <xf numFmtId="165" fontId="20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17" fillId="5" borderId="0" xfId="0" applyFont="1" applyFill="1"/>
    <xf numFmtId="169" fontId="0" fillId="5" borderId="0" xfId="0" applyNumberFormat="1" applyFill="1" applyAlignment="1">
      <alignment horizontal="right"/>
    </xf>
    <xf numFmtId="171" fontId="16" fillId="0" borderId="0" xfId="0" applyNumberFormat="1" applyFont="1" applyAlignment="1">
      <alignment horizontal="right"/>
    </xf>
    <xf numFmtId="166" fontId="24" fillId="6" borderId="0" xfId="0" applyNumberFormat="1" applyFont="1" applyFill="1" applyAlignment="1">
      <alignment horizontal="right"/>
    </xf>
    <xf numFmtId="166" fontId="4" fillId="10" borderId="0" xfId="0" applyNumberFormat="1" applyFont="1" applyFill="1" applyAlignment="1">
      <alignment horizontal="right"/>
    </xf>
    <xf numFmtId="0" fontId="24" fillId="6" borderId="0" xfId="0" applyFont="1" applyFill="1"/>
    <xf numFmtId="172" fontId="24" fillId="6" borderId="0" xfId="0" applyNumberFormat="1" applyFont="1" applyFill="1" applyAlignment="1">
      <alignment horizontal="right"/>
    </xf>
    <xf numFmtId="172" fontId="25" fillId="10" borderId="0" xfId="0" applyNumberFormat="1" applyFont="1" applyFill="1" applyAlignment="1">
      <alignment horizontal="right"/>
    </xf>
    <xf numFmtId="172" fontId="4" fillId="10" borderId="0" xfId="0" applyNumberFormat="1" applyFont="1" applyFill="1" applyAlignment="1">
      <alignment horizontal="right"/>
    </xf>
    <xf numFmtId="165" fontId="24" fillId="6" borderId="0" xfId="0" applyNumberFormat="1" applyFont="1" applyFill="1" applyAlignment="1">
      <alignment horizontal="right"/>
    </xf>
    <xf numFmtId="165" fontId="4" fillId="10" borderId="0" xfId="0" applyNumberFormat="1" applyFont="1" applyFill="1" applyAlignment="1">
      <alignment horizontal="right"/>
    </xf>
    <xf numFmtId="173" fontId="24" fillId="6" borderId="0" xfId="0" applyNumberFormat="1" applyFont="1" applyFill="1" applyAlignment="1">
      <alignment horizontal="right"/>
    </xf>
    <xf numFmtId="173" fontId="4" fillId="10" borderId="0" xfId="0" applyNumberFormat="1" applyFont="1" applyFill="1" applyAlignment="1">
      <alignment horizontal="right"/>
    </xf>
    <xf numFmtId="4" fontId="24" fillId="6" borderId="0" xfId="0" applyNumberFormat="1" applyFont="1" applyFill="1" applyAlignment="1">
      <alignment horizontal="right"/>
    </xf>
    <xf numFmtId="4" fontId="4" fillId="10" borderId="0" xfId="0" applyNumberFormat="1" applyFont="1" applyFill="1" applyAlignment="1">
      <alignment horizontal="right"/>
    </xf>
    <xf numFmtId="0" fontId="26" fillId="8" borderId="0" xfId="0" applyFont="1" applyFill="1"/>
    <xf numFmtId="3" fontId="24" fillId="6" borderId="0" xfId="0" applyNumberFormat="1" applyFont="1" applyFill="1" applyAlignment="1">
      <alignment horizontal="right"/>
    </xf>
    <xf numFmtId="3" fontId="4" fillId="10" borderId="0" xfId="0" applyNumberFormat="1" applyFont="1" applyFill="1" applyAlignment="1">
      <alignment horizontal="right"/>
    </xf>
    <xf numFmtId="0" fontId="3" fillId="7" borderId="0" xfId="0" applyFont="1" applyFill="1"/>
    <xf numFmtId="168" fontId="24" fillId="6" borderId="0" xfId="0" applyNumberFormat="1" applyFont="1" applyFill="1" applyAlignment="1">
      <alignment horizontal="right"/>
    </xf>
    <xf numFmtId="49" fontId="24" fillId="6" borderId="0" xfId="0" applyNumberFormat="1" applyFont="1" applyFill="1" applyAlignment="1">
      <alignment horizontal="right"/>
    </xf>
    <xf numFmtId="49" fontId="4" fillId="10" borderId="0" xfId="0" applyNumberFormat="1" applyFont="1" applyFill="1" applyAlignment="1">
      <alignment horizontal="right"/>
    </xf>
    <xf numFmtId="0" fontId="17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7" fillId="2" borderId="0" xfId="0" applyFont="1" applyFill="1"/>
    <xf numFmtId="166" fontId="25" fillId="2" borderId="0" xfId="0" applyNumberFormat="1" applyFont="1" applyFill="1" applyAlignment="1">
      <alignment horizontal="right"/>
    </xf>
    <xf numFmtId="166" fontId="27" fillId="2" borderId="0" xfId="0" applyNumberFormat="1" applyFont="1" applyFill="1" applyAlignment="1">
      <alignment horizontal="right"/>
    </xf>
    <xf numFmtId="166" fontId="24" fillId="2" borderId="0" xfId="0" applyNumberFormat="1" applyFont="1" applyFill="1" applyAlignment="1">
      <alignment horizontal="right"/>
    </xf>
    <xf numFmtId="166" fontId="28" fillId="2" borderId="0" xfId="0" applyNumberFormat="1" applyFont="1" applyFill="1" applyAlignment="1">
      <alignment horizontal="right"/>
    </xf>
    <xf numFmtId="0" fontId="26" fillId="2" borderId="0" xfId="0" applyFont="1" applyFill="1"/>
    <xf numFmtId="0" fontId="10" fillId="2" borderId="0" xfId="0" applyFont="1" applyFill="1"/>
    <xf numFmtId="166" fontId="25" fillId="7" borderId="0" xfId="0" applyNumberFormat="1" applyFont="1" applyFill="1" applyAlignment="1">
      <alignment horizontal="right"/>
    </xf>
    <xf numFmtId="166" fontId="27" fillId="7" borderId="0" xfId="0" applyNumberFormat="1" applyFont="1" applyFill="1" applyAlignment="1">
      <alignment horizontal="right"/>
    </xf>
    <xf numFmtId="166" fontId="24" fillId="5" borderId="0" xfId="0" applyNumberFormat="1" applyFont="1" applyFill="1" applyAlignment="1">
      <alignment horizontal="right"/>
    </xf>
    <xf numFmtId="166" fontId="28" fillId="7" borderId="0" xfId="0" applyNumberFormat="1" applyFont="1" applyFill="1" applyAlignment="1">
      <alignment horizontal="right"/>
    </xf>
    <xf numFmtId="0" fontId="26" fillId="0" borderId="0" xfId="0" applyFont="1"/>
    <xf numFmtId="0" fontId="14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66" fontId="29" fillId="6" borderId="0" xfId="0" applyNumberFormat="1" applyFont="1" applyFill="1" applyAlignment="1">
      <alignment horizontal="center"/>
    </xf>
    <xf numFmtId="166" fontId="30" fillId="8" borderId="0" xfId="0" applyNumberFormat="1" applyFont="1" applyFill="1" applyAlignment="1">
      <alignment horizontal="center"/>
    </xf>
    <xf numFmtId="166" fontId="18" fillId="6" borderId="0" xfId="0" applyNumberFormat="1" applyFont="1" applyFill="1" applyAlignment="1">
      <alignment horizontal="center"/>
    </xf>
    <xf numFmtId="166" fontId="20" fillId="9" borderId="0" xfId="0" applyNumberFormat="1" applyFont="1" applyFill="1" applyAlignment="1">
      <alignment horizontal="center"/>
    </xf>
    <xf numFmtId="0" fontId="4" fillId="0" borderId="0" xfId="0" applyFont="1" applyAlignment="1">
      <alignment horizontal="right"/>
    </xf>
    <xf numFmtId="165" fontId="7" fillId="0" borderId="0" xfId="0" applyNumberFormat="1" applyFont="1"/>
    <xf numFmtId="169" fontId="4" fillId="0" borderId="0" xfId="0" applyNumberFormat="1" applyFont="1" applyAlignment="1">
      <alignment horizontal="right"/>
    </xf>
    <xf numFmtId="169" fontId="7" fillId="0" borderId="0" xfId="0" applyNumberFormat="1" applyFont="1"/>
    <xf numFmtId="174" fontId="7" fillId="0" borderId="0" xfId="0" applyNumberFormat="1" applyFont="1"/>
    <xf numFmtId="4" fontId="7" fillId="0" borderId="0" xfId="0" applyNumberFormat="1" applyFont="1"/>
    <xf numFmtId="0" fontId="32" fillId="0" borderId="0" xfId="0" applyFont="1"/>
    <xf numFmtId="0" fontId="10" fillId="6" borderId="0" xfId="0" applyFont="1" applyFill="1"/>
    <xf numFmtId="0" fontId="33" fillId="6" borderId="0" xfId="0" applyFont="1" applyFill="1"/>
    <xf numFmtId="0" fontId="34" fillId="6" borderId="0" xfId="0" applyFont="1" applyFill="1"/>
    <xf numFmtId="0" fontId="1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CE8"/>
      <rgbColor rgb="FFEAFAF1"/>
      <rgbColor rgb="FF660066"/>
      <rgbColor rgb="FFFF8080"/>
      <rgbColor rgb="FF0066CC"/>
      <rgbColor rgb="FFF5F7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8ECF0"/>
      <rgbColor rgb="FFFCE8E6"/>
      <rgbColor rgb="FF99CCFF"/>
      <rgbColor rgb="FFFF99CC"/>
      <rgbColor rgb="FFCC99FF"/>
      <rgbColor rgb="FFF8F8F8"/>
      <rgbColor rgb="FF1A73E8"/>
      <rgbColor rgb="FF33CCCC"/>
      <rgbColor rgb="FF99CC00"/>
      <rgbColor rgb="FFFFCC00"/>
      <rgbColor rgb="FFFF9900"/>
      <rgbColor rgb="FFE67E22"/>
      <rgbColor rgb="FF4A5568"/>
      <rgbColor rgb="FF969696"/>
      <rgbColor rgb="FF1E3A5F"/>
      <rgbColor rgb="FF339966"/>
      <rgbColor rgb="FF0066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3"/>
  <sheetViews>
    <sheetView showGridLines="0" tabSelected="1" topLeftCell="A2" zoomScaleNormal="100" workbookViewId="0">
      <selection activeCell="D13" sqref="D13"/>
    </sheetView>
  </sheetViews>
  <sheetFormatPr defaultColWidth="8.6328125" defaultRowHeight="14.5" x14ac:dyDescent="0.35"/>
  <cols>
    <col min="1" max="1" width="3" customWidth="1"/>
    <col min="2" max="2" width="24" customWidth="1"/>
    <col min="3" max="3" width="3" customWidth="1"/>
    <col min="4" max="4" width="65" customWidth="1"/>
  </cols>
  <sheetData>
    <row r="2" spans="2:12" ht="36" customHeight="1" x14ac:dyDescent="0.35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ht="15" customHeight="1" x14ac:dyDescent="0.35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5" spans="2:12" ht="15" customHeight="1" x14ac:dyDescent="0.35">
      <c r="B5" s="8" t="s">
        <v>2</v>
      </c>
      <c r="C5" s="9"/>
      <c r="D5" s="10" t="s">
        <v>3</v>
      </c>
      <c r="E5" s="9"/>
      <c r="F5" s="9"/>
      <c r="G5" s="9"/>
      <c r="H5" s="9"/>
      <c r="I5" s="9"/>
      <c r="J5" s="9"/>
      <c r="K5" s="9"/>
      <c r="L5" s="9"/>
    </row>
    <row r="6" spans="2:12" ht="15" customHeight="1" x14ac:dyDescent="0.35">
      <c r="B6" s="11" t="s">
        <v>4</v>
      </c>
      <c r="D6" s="12" t="s">
        <v>5</v>
      </c>
    </row>
    <row r="7" spans="2:12" ht="15" customHeight="1" x14ac:dyDescent="0.35">
      <c r="B7" s="8" t="s">
        <v>6</v>
      </c>
      <c r="C7" s="9"/>
      <c r="D7" s="10" t="s">
        <v>7</v>
      </c>
      <c r="E7" s="9"/>
      <c r="F7" s="9"/>
      <c r="G7" s="9"/>
      <c r="H7" s="9"/>
      <c r="I7" s="9"/>
      <c r="J7" s="9"/>
      <c r="K7" s="9"/>
      <c r="L7" s="9"/>
    </row>
    <row r="8" spans="2:12" ht="15" customHeight="1" x14ac:dyDescent="0.35">
      <c r="B8" s="11" t="s">
        <v>8</v>
      </c>
      <c r="D8" s="12" t="s">
        <v>9</v>
      </c>
    </row>
    <row r="9" spans="2:12" ht="15" customHeight="1" x14ac:dyDescent="0.35">
      <c r="B9" s="8" t="s">
        <v>10</v>
      </c>
      <c r="C9" s="9"/>
      <c r="D9" s="10" t="s">
        <v>11</v>
      </c>
      <c r="E9" s="9"/>
      <c r="F9" s="9"/>
      <c r="G9" s="9"/>
      <c r="H9" s="9"/>
      <c r="I9" s="9"/>
      <c r="J9" s="9"/>
      <c r="K9" s="9"/>
      <c r="L9" s="9"/>
    </row>
    <row r="10" spans="2:12" ht="15" customHeight="1" x14ac:dyDescent="0.35">
      <c r="B10" s="11" t="s">
        <v>12</v>
      </c>
      <c r="D10" s="12" t="s">
        <v>13</v>
      </c>
    </row>
    <row r="11" spans="2:12" ht="15" customHeight="1" x14ac:dyDescent="0.35">
      <c r="B11" s="8" t="s">
        <v>14</v>
      </c>
      <c r="C11" s="9"/>
      <c r="D11" s="10" t="s">
        <v>15</v>
      </c>
      <c r="E11" s="9"/>
      <c r="F11" s="9"/>
      <c r="G11" s="9"/>
      <c r="H11" s="9"/>
      <c r="I11" s="9"/>
      <c r="J11" s="9"/>
      <c r="K11" s="9"/>
      <c r="L11" s="9"/>
    </row>
    <row r="12" spans="2:12" ht="15" customHeight="1" x14ac:dyDescent="0.35">
      <c r="B12" s="11" t="s">
        <v>16</v>
      </c>
      <c r="D12" s="12" t="s">
        <v>17</v>
      </c>
    </row>
    <row r="13" spans="2:12" ht="15" customHeight="1" x14ac:dyDescent="0.35">
      <c r="B13" s="8" t="s">
        <v>18</v>
      </c>
      <c r="C13" s="9"/>
      <c r="D13" s="10" t="s">
        <v>19</v>
      </c>
      <c r="E13" s="9"/>
      <c r="F13" s="9"/>
      <c r="G13" s="9"/>
      <c r="H13" s="9"/>
      <c r="I13" s="9"/>
      <c r="J13" s="9"/>
      <c r="K13" s="9"/>
      <c r="L13" s="9"/>
    </row>
    <row r="14" spans="2:12" ht="15" customHeight="1" x14ac:dyDescent="0.35">
      <c r="B14" s="11" t="s">
        <v>20</v>
      </c>
      <c r="D14" s="12" t="s">
        <v>21</v>
      </c>
    </row>
    <row r="15" spans="2:12" ht="15" customHeight="1" x14ac:dyDescent="0.35">
      <c r="B15" s="8" t="s">
        <v>22</v>
      </c>
      <c r="C15" s="9"/>
      <c r="D15" s="10" t="s">
        <v>23</v>
      </c>
      <c r="E15" s="9"/>
      <c r="F15" s="9"/>
      <c r="G15" s="9"/>
      <c r="H15" s="9"/>
      <c r="I15" s="9"/>
      <c r="J15" s="9"/>
      <c r="K15" s="9"/>
      <c r="L15" s="9"/>
    </row>
    <row r="16" spans="2:12" ht="15" customHeight="1" x14ac:dyDescent="0.35">
      <c r="B16" s="11" t="s">
        <v>24</v>
      </c>
      <c r="D16" s="12" t="s">
        <v>25</v>
      </c>
    </row>
    <row r="17" spans="2:12" ht="15" customHeight="1" x14ac:dyDescent="0.35">
      <c r="B17" s="8" t="s">
        <v>26</v>
      </c>
      <c r="C17" s="9"/>
      <c r="D17" s="10" t="s">
        <v>27</v>
      </c>
      <c r="E17" s="9"/>
      <c r="F17" s="9"/>
      <c r="G17" s="9"/>
      <c r="H17" s="9"/>
      <c r="I17" s="9"/>
      <c r="J17" s="9"/>
      <c r="K17" s="9"/>
      <c r="L17" s="9"/>
    </row>
    <row r="18" spans="2:12" ht="15" customHeight="1" x14ac:dyDescent="0.35">
      <c r="B18" s="11" t="s">
        <v>28</v>
      </c>
      <c r="D18" s="12" t="s">
        <v>29</v>
      </c>
    </row>
    <row r="19" spans="2:12" ht="15" customHeight="1" x14ac:dyDescent="0.35">
      <c r="B19" s="8" t="s">
        <v>30</v>
      </c>
      <c r="C19" s="9"/>
      <c r="D19" s="10" t="s">
        <v>31</v>
      </c>
      <c r="E19" s="9"/>
      <c r="F19" s="9"/>
      <c r="G19" s="9"/>
      <c r="H19" s="9"/>
      <c r="I19" s="9"/>
      <c r="J19" s="9"/>
      <c r="K19" s="9"/>
      <c r="L19" s="9"/>
    </row>
    <row r="20" spans="2:12" ht="15" customHeight="1" x14ac:dyDescent="0.35">
      <c r="B20" s="11" t="s">
        <v>32</v>
      </c>
      <c r="D20" s="12" t="s">
        <v>33</v>
      </c>
    </row>
    <row r="21" spans="2:12" ht="15" customHeight="1" x14ac:dyDescent="0.35">
      <c r="B21" s="8" t="s">
        <v>34</v>
      </c>
      <c r="C21" s="9"/>
      <c r="D21" s="10" t="s">
        <v>35</v>
      </c>
      <c r="E21" s="9"/>
      <c r="F21" s="9"/>
      <c r="G21" s="9"/>
      <c r="H21" s="9"/>
      <c r="I21" s="9"/>
      <c r="J21" s="9"/>
      <c r="K21" s="9"/>
      <c r="L21" s="9"/>
    </row>
    <row r="24" spans="2:12" ht="15" customHeight="1" x14ac:dyDescent="0.35">
      <c r="B24" s="13" t="s">
        <v>36</v>
      </c>
    </row>
    <row r="25" spans="2:12" ht="15" customHeight="1" x14ac:dyDescent="0.35">
      <c r="B25" s="14" t="s">
        <v>37</v>
      </c>
      <c r="D25" s="15" t="s">
        <v>38</v>
      </c>
    </row>
    <row r="26" spans="2:12" ht="15" customHeight="1" x14ac:dyDescent="0.35">
      <c r="B26" s="14" t="s">
        <v>39</v>
      </c>
      <c r="D26" s="15" t="s">
        <v>40</v>
      </c>
    </row>
    <row r="27" spans="2:12" ht="15" customHeight="1" x14ac:dyDescent="0.35">
      <c r="B27" s="14" t="s">
        <v>41</v>
      </c>
      <c r="D27" s="15" t="s">
        <v>42</v>
      </c>
    </row>
    <row r="28" spans="2:12" ht="15" customHeight="1" x14ac:dyDescent="0.35">
      <c r="B28" s="14" t="s">
        <v>43</v>
      </c>
      <c r="D28" s="15" t="s">
        <v>44</v>
      </c>
    </row>
    <row r="29" spans="2:12" ht="15" customHeight="1" x14ac:dyDescent="0.35">
      <c r="B29" s="14" t="s">
        <v>45</v>
      </c>
      <c r="D29" s="15" t="s">
        <v>46</v>
      </c>
    </row>
    <row r="30" spans="2:12" ht="15" customHeight="1" x14ac:dyDescent="0.35">
      <c r="B30" s="14" t="s">
        <v>47</v>
      </c>
      <c r="D30" s="15" t="s">
        <v>48</v>
      </c>
    </row>
    <row r="31" spans="2:12" ht="15" customHeight="1" x14ac:dyDescent="0.35">
      <c r="B31" s="14" t="s">
        <v>49</v>
      </c>
      <c r="D31" s="15" t="s">
        <v>50</v>
      </c>
    </row>
    <row r="32" spans="2:12" ht="15" customHeight="1" x14ac:dyDescent="0.35">
      <c r="B32" s="14" t="s">
        <v>51</v>
      </c>
      <c r="D32" s="15" t="s">
        <v>52</v>
      </c>
    </row>
    <row r="33" spans="2:4" ht="15" customHeight="1" x14ac:dyDescent="0.35">
      <c r="B33" s="14" t="s">
        <v>53</v>
      </c>
      <c r="D33" s="15" t="s">
        <v>54</v>
      </c>
    </row>
    <row r="34" spans="2:4" ht="15" customHeight="1" x14ac:dyDescent="0.35">
      <c r="B34" s="14" t="s">
        <v>55</v>
      </c>
      <c r="D34" s="15" t="s">
        <v>56</v>
      </c>
    </row>
    <row r="35" spans="2:4" ht="15" customHeight="1" x14ac:dyDescent="0.35">
      <c r="B35" s="14" t="s">
        <v>57</v>
      </c>
      <c r="D35" s="15" t="s">
        <v>58</v>
      </c>
    </row>
    <row r="36" spans="2:4" ht="15" customHeight="1" x14ac:dyDescent="0.35">
      <c r="B36" s="14" t="s">
        <v>59</v>
      </c>
      <c r="D36" s="15" t="s">
        <v>60</v>
      </c>
    </row>
    <row r="37" spans="2:4" ht="15" customHeight="1" x14ac:dyDescent="0.35">
      <c r="B37" s="14" t="s">
        <v>61</v>
      </c>
      <c r="D37" s="15" t="s">
        <v>62</v>
      </c>
    </row>
    <row r="38" spans="2:4" ht="15" customHeight="1" x14ac:dyDescent="0.35">
      <c r="B38" s="14" t="s">
        <v>63</v>
      </c>
      <c r="D38" s="15" t="s">
        <v>64</v>
      </c>
    </row>
    <row r="39" spans="2:4" ht="15" customHeight="1" x14ac:dyDescent="0.35">
      <c r="B39" s="14" t="s">
        <v>65</v>
      </c>
      <c r="D39" s="15" t="s">
        <v>66</v>
      </c>
    </row>
    <row r="40" spans="2:4" ht="15" customHeight="1" x14ac:dyDescent="0.35">
      <c r="B40" s="14" t="s">
        <v>67</v>
      </c>
      <c r="D40" s="15" t="s">
        <v>68</v>
      </c>
    </row>
    <row r="41" spans="2:4" ht="15" customHeight="1" x14ac:dyDescent="0.35">
      <c r="B41" s="14" t="s">
        <v>69</v>
      </c>
      <c r="D41" s="15" t="s">
        <v>70</v>
      </c>
    </row>
    <row r="42" spans="2:4" ht="15" customHeight="1" x14ac:dyDescent="0.35">
      <c r="B42" s="14" t="s">
        <v>71</v>
      </c>
      <c r="D42" s="15" t="s">
        <v>72</v>
      </c>
    </row>
    <row r="43" spans="2:4" ht="15" customHeight="1" x14ac:dyDescent="0.35">
      <c r="B43" s="14" t="s">
        <v>73</v>
      </c>
      <c r="D43" s="15" t="s">
        <v>74</v>
      </c>
    </row>
  </sheetData>
  <mergeCells count="2">
    <mergeCell ref="B2:L2"/>
    <mergeCell ref="B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5" customWidth="1"/>
    <col min="3" max="3" width="42" customWidth="1"/>
    <col min="4" max="4" width="16" customWidth="1"/>
    <col min="5" max="5" width="12" customWidth="1"/>
    <col min="6" max="6" width="46" customWidth="1"/>
    <col min="7" max="7" width="28" customWidth="1"/>
  </cols>
  <sheetData>
    <row r="2" spans="2:7" ht="15" customHeight="1" x14ac:dyDescent="0.35">
      <c r="B2" s="5" t="s">
        <v>75</v>
      </c>
      <c r="C2" s="5"/>
      <c r="D2" s="5"/>
      <c r="E2" s="5"/>
      <c r="F2" s="5"/>
      <c r="G2" s="5"/>
    </row>
    <row r="3" spans="2:7" ht="15" customHeight="1" x14ac:dyDescent="0.35">
      <c r="B3" s="16" t="s">
        <v>76</v>
      </c>
      <c r="C3" s="16" t="s">
        <v>77</v>
      </c>
      <c r="D3" s="16" t="s">
        <v>78</v>
      </c>
      <c r="E3" s="16" t="s">
        <v>79</v>
      </c>
      <c r="F3" s="16" t="s">
        <v>80</v>
      </c>
      <c r="G3" s="16" t="s">
        <v>81</v>
      </c>
    </row>
    <row r="4" spans="2:7" ht="15" customHeight="1" x14ac:dyDescent="0.35">
      <c r="B4" s="4" t="s">
        <v>82</v>
      </c>
      <c r="C4" s="4"/>
      <c r="D4" s="4"/>
      <c r="E4" s="4"/>
      <c r="F4" s="4"/>
      <c r="G4" s="4"/>
    </row>
    <row r="5" spans="2:7" ht="15" customHeight="1" x14ac:dyDescent="0.35">
      <c r="B5" s="17" t="s">
        <v>83</v>
      </c>
      <c r="C5" s="15" t="s">
        <v>84</v>
      </c>
      <c r="D5" s="18" t="s">
        <v>85</v>
      </c>
      <c r="E5" s="19"/>
      <c r="F5" s="19" t="s">
        <v>86</v>
      </c>
    </row>
    <row r="6" spans="2:7" ht="15" customHeight="1" x14ac:dyDescent="0.35">
      <c r="B6" s="17" t="s">
        <v>87</v>
      </c>
      <c r="C6" s="15" t="s">
        <v>88</v>
      </c>
      <c r="D6" s="20">
        <v>2025</v>
      </c>
      <c r="E6" s="19" t="s">
        <v>89</v>
      </c>
      <c r="F6" s="19" t="s">
        <v>90</v>
      </c>
    </row>
    <row r="7" spans="2:7" ht="15" customHeight="1" x14ac:dyDescent="0.35">
      <c r="B7" s="17" t="s">
        <v>91</v>
      </c>
      <c r="C7" s="15" t="s">
        <v>92</v>
      </c>
      <c r="D7" s="20">
        <v>3</v>
      </c>
      <c r="E7" s="19" t="s">
        <v>93</v>
      </c>
      <c r="F7" s="19" t="s">
        <v>94</v>
      </c>
    </row>
    <row r="8" spans="2:7" ht="15" customHeight="1" x14ac:dyDescent="0.35">
      <c r="B8" s="17" t="s">
        <v>95</v>
      </c>
      <c r="C8" s="15" t="s">
        <v>96</v>
      </c>
      <c r="D8" s="20">
        <v>2028</v>
      </c>
      <c r="E8" s="19" t="s">
        <v>89</v>
      </c>
      <c r="F8" s="19" t="s">
        <v>97</v>
      </c>
    </row>
    <row r="9" spans="2:7" ht="15" customHeight="1" x14ac:dyDescent="0.35">
      <c r="B9" s="17" t="s">
        <v>98</v>
      </c>
      <c r="C9" s="15" t="s">
        <v>99</v>
      </c>
      <c r="D9" s="20">
        <v>2044</v>
      </c>
      <c r="E9" s="19" t="s">
        <v>89</v>
      </c>
      <c r="F9" s="19" t="s">
        <v>100</v>
      </c>
    </row>
    <row r="10" spans="2:7" ht="15" customHeight="1" x14ac:dyDescent="0.35">
      <c r="B10" s="17" t="s">
        <v>101</v>
      </c>
      <c r="C10" s="15" t="s">
        <v>102</v>
      </c>
      <c r="D10" s="21">
        <f>D9-D6+1</f>
        <v>20</v>
      </c>
      <c r="E10" s="19" t="s">
        <v>93</v>
      </c>
      <c r="F10" s="19" t="s">
        <v>103</v>
      </c>
    </row>
    <row r="11" spans="2:7" ht="15" customHeight="1" x14ac:dyDescent="0.35">
      <c r="B11" s="4" t="s">
        <v>104</v>
      </c>
      <c r="C11" s="4"/>
      <c r="D11" s="4"/>
      <c r="E11" s="4"/>
      <c r="F11" s="4"/>
      <c r="G11" s="4"/>
    </row>
    <row r="12" spans="2:7" ht="15" customHeight="1" x14ac:dyDescent="0.35">
      <c r="B12" s="17" t="s">
        <v>105</v>
      </c>
      <c r="C12" s="15" t="s">
        <v>106</v>
      </c>
      <c r="D12" s="22">
        <v>850</v>
      </c>
      <c r="E12" s="19" t="s">
        <v>107</v>
      </c>
      <c r="F12" s="19" t="s">
        <v>108</v>
      </c>
    </row>
    <row r="13" spans="2:7" ht="15" customHeight="1" x14ac:dyDescent="0.35">
      <c r="B13" s="17" t="s">
        <v>109</v>
      </c>
      <c r="C13" s="15" t="s">
        <v>110</v>
      </c>
      <c r="D13" s="23">
        <v>0.08</v>
      </c>
      <c r="E13" s="19" t="s">
        <v>111</v>
      </c>
      <c r="F13" s="19" t="s">
        <v>112</v>
      </c>
    </row>
    <row r="14" spans="2:7" ht="15" customHeight="1" x14ac:dyDescent="0.35">
      <c r="B14" s="17" t="s">
        <v>113</v>
      </c>
      <c r="C14" s="15" t="s">
        <v>114</v>
      </c>
      <c r="D14" s="24">
        <f>D12*(1+D13)</f>
        <v>918.00000000000011</v>
      </c>
      <c r="E14" s="19" t="s">
        <v>107</v>
      </c>
      <c r="F14" s="19" t="s">
        <v>103</v>
      </c>
    </row>
    <row r="15" spans="2:7" ht="15" customHeight="1" x14ac:dyDescent="0.35">
      <c r="B15" s="17" t="s">
        <v>115</v>
      </c>
      <c r="C15" s="15" t="s">
        <v>116</v>
      </c>
      <c r="D15" s="23">
        <v>0.1</v>
      </c>
      <c r="E15" s="19" t="s">
        <v>117</v>
      </c>
      <c r="F15" s="19" t="s">
        <v>118</v>
      </c>
    </row>
    <row r="16" spans="2:7" ht="15" customHeight="1" x14ac:dyDescent="0.35">
      <c r="B16" s="17" t="s">
        <v>119</v>
      </c>
      <c r="C16" s="15" t="s">
        <v>120</v>
      </c>
      <c r="D16" s="23">
        <v>0.55000000000000004</v>
      </c>
      <c r="E16" s="19" t="s">
        <v>117</v>
      </c>
      <c r="F16" s="19" t="s">
        <v>118</v>
      </c>
    </row>
    <row r="17" spans="2:7" ht="15" customHeight="1" x14ac:dyDescent="0.35">
      <c r="B17" s="17" t="s">
        <v>121</v>
      </c>
      <c r="C17" s="15" t="s">
        <v>122</v>
      </c>
      <c r="D17" s="23">
        <v>0.35</v>
      </c>
      <c r="E17" s="19" t="s">
        <v>117</v>
      </c>
      <c r="F17" s="19" t="s">
        <v>118</v>
      </c>
    </row>
    <row r="18" spans="2:7" ht="15" customHeight="1" x14ac:dyDescent="0.35">
      <c r="B18" s="17" t="s">
        <v>123</v>
      </c>
      <c r="C18" s="15" t="s">
        <v>124</v>
      </c>
      <c r="D18" s="25">
        <f>D15+D16+D17</f>
        <v>1</v>
      </c>
      <c r="E18" s="19" t="s">
        <v>125</v>
      </c>
      <c r="F18" s="19" t="s">
        <v>126</v>
      </c>
    </row>
    <row r="19" spans="2:7" ht="15" customHeight="1" x14ac:dyDescent="0.35">
      <c r="B19" s="17" t="s">
        <v>127</v>
      </c>
      <c r="C19" s="15" t="s">
        <v>128</v>
      </c>
      <c r="D19" s="22">
        <v>8.5</v>
      </c>
      <c r="E19" s="19" t="s">
        <v>129</v>
      </c>
      <c r="F19" s="19" t="s">
        <v>130</v>
      </c>
    </row>
    <row r="20" spans="2:7" ht="15" customHeight="1" x14ac:dyDescent="0.35">
      <c r="B20" s="17" t="s">
        <v>131</v>
      </c>
      <c r="C20" s="15" t="s">
        <v>132</v>
      </c>
      <c r="D20" s="22">
        <v>11</v>
      </c>
      <c r="E20" s="19" t="s">
        <v>129</v>
      </c>
      <c r="F20" s="19" t="s">
        <v>130</v>
      </c>
    </row>
    <row r="21" spans="2:7" ht="15" customHeight="1" x14ac:dyDescent="0.35">
      <c r="B21" s="17" t="s">
        <v>133</v>
      </c>
      <c r="C21" s="15" t="s">
        <v>134</v>
      </c>
      <c r="D21" s="22">
        <v>14.5</v>
      </c>
      <c r="E21" s="19" t="s">
        <v>129</v>
      </c>
      <c r="F21" s="19" t="s">
        <v>135</v>
      </c>
    </row>
    <row r="22" spans="2:7" ht="15" customHeight="1" x14ac:dyDescent="0.35">
      <c r="B22" s="4" t="s">
        <v>136</v>
      </c>
      <c r="C22" s="4"/>
      <c r="D22" s="4"/>
      <c r="E22" s="4"/>
      <c r="F22" s="4"/>
      <c r="G22" s="4"/>
    </row>
    <row r="23" spans="2:7" ht="15" customHeight="1" x14ac:dyDescent="0.35">
      <c r="B23" s="17" t="s">
        <v>137</v>
      </c>
      <c r="C23" s="15" t="s">
        <v>138</v>
      </c>
      <c r="D23" s="26">
        <v>0.48</v>
      </c>
      <c r="E23" s="19" t="s">
        <v>139</v>
      </c>
      <c r="F23" s="19" t="s">
        <v>140</v>
      </c>
    </row>
    <row r="24" spans="2:7" ht="15" customHeight="1" x14ac:dyDescent="0.35">
      <c r="B24" s="17" t="s">
        <v>141</v>
      </c>
      <c r="C24" s="15" t="s">
        <v>142</v>
      </c>
      <c r="D24" s="26">
        <v>0.46</v>
      </c>
      <c r="E24" s="19" t="s">
        <v>139</v>
      </c>
      <c r="F24" s="19" t="s">
        <v>143</v>
      </c>
    </row>
    <row r="25" spans="2:7" ht="15" customHeight="1" x14ac:dyDescent="0.35">
      <c r="B25" s="17" t="s">
        <v>144</v>
      </c>
      <c r="C25" s="15" t="s">
        <v>145</v>
      </c>
      <c r="D25" s="26">
        <v>0.18</v>
      </c>
      <c r="E25" s="19" t="s">
        <v>146</v>
      </c>
      <c r="F25" s="19" t="s">
        <v>147</v>
      </c>
    </row>
    <row r="26" spans="2:7" ht="15" customHeight="1" x14ac:dyDescent="0.35">
      <c r="B26" s="17" t="s">
        <v>148</v>
      </c>
      <c r="C26" s="15" t="s">
        <v>149</v>
      </c>
      <c r="D26" s="22">
        <v>4.5</v>
      </c>
      <c r="E26" s="19" t="s">
        <v>129</v>
      </c>
      <c r="F26" s="19" t="s">
        <v>150</v>
      </c>
    </row>
    <row r="27" spans="2:7" ht="15" customHeight="1" x14ac:dyDescent="0.35">
      <c r="B27" s="17" t="s">
        <v>151</v>
      </c>
      <c r="C27" s="15" t="s">
        <v>152</v>
      </c>
      <c r="D27" s="23">
        <v>0.72</v>
      </c>
      <c r="E27" s="19" t="s">
        <v>153</v>
      </c>
      <c r="F27" s="19" t="s">
        <v>154</v>
      </c>
    </row>
    <row r="28" spans="2:7" ht="15" customHeight="1" x14ac:dyDescent="0.35">
      <c r="B28" s="17" t="s">
        <v>155</v>
      </c>
      <c r="C28" s="15" t="s">
        <v>156</v>
      </c>
      <c r="D28" s="23">
        <v>0.82</v>
      </c>
      <c r="E28" s="19" t="s">
        <v>153</v>
      </c>
      <c r="F28" s="19" t="s">
        <v>154</v>
      </c>
    </row>
    <row r="29" spans="2:7" ht="15" customHeight="1" x14ac:dyDescent="0.35">
      <c r="B29" s="17" t="s">
        <v>157</v>
      </c>
      <c r="C29" s="15" t="s">
        <v>158</v>
      </c>
      <c r="D29" s="23">
        <v>0.87</v>
      </c>
      <c r="E29" s="19" t="s">
        <v>153</v>
      </c>
      <c r="F29" s="19" t="s">
        <v>159</v>
      </c>
    </row>
    <row r="30" spans="2:7" ht="15" customHeight="1" x14ac:dyDescent="0.35">
      <c r="B30" s="17" t="s">
        <v>160</v>
      </c>
      <c r="C30" s="15" t="s">
        <v>161</v>
      </c>
      <c r="D30" s="22">
        <v>4.5</v>
      </c>
      <c r="E30" s="19" t="s">
        <v>162</v>
      </c>
      <c r="F30" s="19" t="s">
        <v>163</v>
      </c>
    </row>
    <row r="31" spans="2:7" ht="15" customHeight="1" x14ac:dyDescent="0.35">
      <c r="B31" s="17" t="s">
        <v>164</v>
      </c>
      <c r="C31" s="15" t="s">
        <v>165</v>
      </c>
      <c r="D31" s="23">
        <v>2.5000000000000001E-2</v>
      </c>
      <c r="E31" s="19" t="s">
        <v>166</v>
      </c>
      <c r="F31" s="19" t="s">
        <v>167</v>
      </c>
    </row>
    <row r="32" spans="2:7" ht="15" customHeight="1" x14ac:dyDescent="0.35">
      <c r="B32" s="17" t="s">
        <v>168</v>
      </c>
      <c r="C32" s="15" t="s">
        <v>169</v>
      </c>
      <c r="D32" s="20">
        <v>15</v>
      </c>
      <c r="E32" s="19" t="s">
        <v>93</v>
      </c>
      <c r="F32" s="19" t="s">
        <v>170</v>
      </c>
    </row>
    <row r="33" spans="2:7" ht="15" customHeight="1" x14ac:dyDescent="0.35">
      <c r="B33" s="17" t="s">
        <v>171</v>
      </c>
      <c r="C33" s="15" t="s">
        <v>172</v>
      </c>
      <c r="D33" s="23">
        <v>0.78</v>
      </c>
      <c r="E33" s="19" t="s">
        <v>173</v>
      </c>
      <c r="F33" s="19" t="s">
        <v>174</v>
      </c>
    </row>
    <row r="34" spans="2:7" ht="15" customHeight="1" x14ac:dyDescent="0.35">
      <c r="B34" s="4" t="s">
        <v>175</v>
      </c>
      <c r="C34" s="4"/>
      <c r="D34" s="4"/>
      <c r="E34" s="4"/>
      <c r="F34" s="4"/>
      <c r="G34" s="4"/>
    </row>
    <row r="35" spans="2:7" ht="15" customHeight="1" x14ac:dyDescent="0.35">
      <c r="B35" s="17" t="s">
        <v>176</v>
      </c>
      <c r="C35" s="15" t="s">
        <v>177</v>
      </c>
      <c r="D35" s="22">
        <v>24.5</v>
      </c>
      <c r="E35" s="19" t="s">
        <v>129</v>
      </c>
      <c r="F35" s="19" t="s">
        <v>178</v>
      </c>
    </row>
    <row r="36" spans="2:7" ht="15" customHeight="1" x14ac:dyDescent="0.35">
      <c r="B36" s="17" t="s">
        <v>179</v>
      </c>
      <c r="C36" s="15" t="s">
        <v>180</v>
      </c>
      <c r="D36" s="26">
        <v>4.2000000000000003E-2</v>
      </c>
      <c r="E36" s="19" t="s">
        <v>139</v>
      </c>
      <c r="F36" s="19" t="s">
        <v>181</v>
      </c>
    </row>
    <row r="37" spans="2:7" ht="15" customHeight="1" x14ac:dyDescent="0.35">
      <c r="B37" s="17" t="s">
        <v>182</v>
      </c>
      <c r="C37" s="15" t="s">
        <v>183</v>
      </c>
      <c r="D37" s="23">
        <v>2.5000000000000001E-2</v>
      </c>
      <c r="E37" s="19" t="s">
        <v>166</v>
      </c>
      <c r="F37" s="19" t="s">
        <v>184</v>
      </c>
    </row>
    <row r="38" spans="2:7" ht="15" customHeight="1" x14ac:dyDescent="0.35">
      <c r="B38" s="17" t="s">
        <v>185</v>
      </c>
      <c r="C38" s="15" t="s">
        <v>186</v>
      </c>
      <c r="D38" s="23">
        <v>6.0000000000000001E-3</v>
      </c>
      <c r="E38" s="19" t="s">
        <v>166</v>
      </c>
      <c r="F38" s="19" t="s">
        <v>187</v>
      </c>
    </row>
    <row r="39" spans="2:7" ht="15" customHeight="1" x14ac:dyDescent="0.35">
      <c r="B39" s="17" t="s">
        <v>188</v>
      </c>
      <c r="C39" s="15" t="s">
        <v>189</v>
      </c>
      <c r="D39" s="22">
        <v>3.2</v>
      </c>
      <c r="E39" s="19" t="s">
        <v>129</v>
      </c>
      <c r="F39" s="19" t="s">
        <v>190</v>
      </c>
    </row>
    <row r="40" spans="2:7" ht="15" customHeight="1" x14ac:dyDescent="0.35">
      <c r="B40" s="17" t="s">
        <v>191</v>
      </c>
      <c r="C40" s="15" t="s">
        <v>192</v>
      </c>
      <c r="D40" s="22">
        <v>6.8</v>
      </c>
      <c r="E40" s="19" t="s">
        <v>129</v>
      </c>
      <c r="F40" s="19" t="s">
        <v>193</v>
      </c>
    </row>
    <row r="41" spans="2:7" ht="15" customHeight="1" x14ac:dyDescent="0.35">
      <c r="B41" s="17" t="s">
        <v>194</v>
      </c>
      <c r="C41" s="15" t="s">
        <v>195</v>
      </c>
      <c r="D41" s="22">
        <v>1.5</v>
      </c>
      <c r="E41" s="19" t="s">
        <v>129</v>
      </c>
      <c r="F41" s="19" t="s">
        <v>196</v>
      </c>
    </row>
    <row r="42" spans="2:7" ht="15" customHeight="1" x14ac:dyDescent="0.35">
      <c r="B42" s="4" t="s">
        <v>197</v>
      </c>
      <c r="C42" s="4"/>
      <c r="D42" s="4"/>
      <c r="E42" s="4"/>
      <c r="F42" s="4"/>
      <c r="G42" s="4"/>
    </row>
    <row r="43" spans="2:7" ht="15" customHeight="1" x14ac:dyDescent="0.35">
      <c r="B43" s="17" t="s">
        <v>198</v>
      </c>
      <c r="C43" s="15" t="s">
        <v>199</v>
      </c>
      <c r="D43" s="22">
        <v>25</v>
      </c>
      <c r="E43" s="19" t="s">
        <v>200</v>
      </c>
      <c r="F43" s="19" t="s">
        <v>201</v>
      </c>
    </row>
    <row r="44" spans="2:7" ht="15" customHeight="1" x14ac:dyDescent="0.35">
      <c r="B44" s="17" t="s">
        <v>202</v>
      </c>
      <c r="C44" s="15" t="s">
        <v>203</v>
      </c>
      <c r="D44" s="26">
        <v>5.1999999999999998E-2</v>
      </c>
      <c r="E44" s="19" t="s">
        <v>204</v>
      </c>
      <c r="F44" s="19" t="s">
        <v>205</v>
      </c>
    </row>
    <row r="45" spans="2:7" ht="15" customHeight="1" x14ac:dyDescent="0.35">
      <c r="B45" s="17" t="s">
        <v>206</v>
      </c>
      <c r="C45" s="15" t="s">
        <v>207</v>
      </c>
      <c r="D45" s="22">
        <v>6</v>
      </c>
      <c r="E45" s="19" t="s">
        <v>208</v>
      </c>
      <c r="F45" s="19" t="s">
        <v>209</v>
      </c>
    </row>
    <row r="46" spans="2:7" ht="15" customHeight="1" x14ac:dyDescent="0.35">
      <c r="B46" s="17" t="s">
        <v>210</v>
      </c>
      <c r="C46" s="15" t="s">
        <v>211</v>
      </c>
      <c r="D46" s="23">
        <v>0.05</v>
      </c>
      <c r="E46" s="19" t="s">
        <v>166</v>
      </c>
      <c r="F46" s="19" t="s">
        <v>212</v>
      </c>
    </row>
    <row r="47" spans="2:7" ht="15" customHeight="1" x14ac:dyDescent="0.35">
      <c r="B47" s="17" t="s">
        <v>213</v>
      </c>
      <c r="C47" s="15" t="s">
        <v>214</v>
      </c>
      <c r="D47" s="24">
        <f>D43*D44*4.5*1000*1000/1055.87/1000000</f>
        <v>5.540454790835995E-3</v>
      </c>
      <c r="E47" s="19" t="s">
        <v>129</v>
      </c>
      <c r="F47" s="19" t="s">
        <v>215</v>
      </c>
    </row>
    <row r="48" spans="2:7" ht="15" customHeight="1" x14ac:dyDescent="0.35">
      <c r="B48" s="4" t="s">
        <v>216</v>
      </c>
      <c r="C48" s="4"/>
      <c r="D48" s="4"/>
      <c r="E48" s="4"/>
      <c r="F48" s="4"/>
      <c r="G48" s="4"/>
    </row>
    <row r="49" spans="2:7" ht="15" customHeight="1" x14ac:dyDescent="0.35">
      <c r="B49" s="17" t="s">
        <v>217</v>
      </c>
      <c r="C49" s="15" t="s">
        <v>218</v>
      </c>
      <c r="D49" s="23">
        <v>8.5000000000000006E-2</v>
      </c>
      <c r="E49" s="19" t="s">
        <v>153</v>
      </c>
      <c r="F49" s="19" t="s">
        <v>219</v>
      </c>
    </row>
    <row r="50" spans="2:7" ht="15" customHeight="1" x14ac:dyDescent="0.35">
      <c r="B50" s="17" t="s">
        <v>220</v>
      </c>
      <c r="C50" s="15" t="s">
        <v>221</v>
      </c>
      <c r="D50" s="23">
        <v>0.13500000000000001</v>
      </c>
      <c r="E50" s="19" t="s">
        <v>153</v>
      </c>
      <c r="F50" s="19" t="s">
        <v>222</v>
      </c>
    </row>
    <row r="51" spans="2:7" ht="15" customHeight="1" x14ac:dyDescent="0.35">
      <c r="B51" s="17" t="s">
        <v>223</v>
      </c>
      <c r="C51" s="15" t="s">
        <v>224</v>
      </c>
      <c r="D51" s="23">
        <v>0.65</v>
      </c>
      <c r="E51" s="19" t="s">
        <v>225</v>
      </c>
      <c r="F51" s="19" t="s">
        <v>226</v>
      </c>
    </row>
    <row r="52" spans="2:7" ht="15" customHeight="1" x14ac:dyDescent="0.35">
      <c r="B52" s="17" t="s">
        <v>227</v>
      </c>
      <c r="C52" s="15" t="s">
        <v>228</v>
      </c>
      <c r="D52" s="24">
        <f>D14*D51</f>
        <v>596.70000000000005</v>
      </c>
      <c r="E52" s="19" t="s">
        <v>107</v>
      </c>
      <c r="F52" s="19" t="s">
        <v>103</v>
      </c>
    </row>
    <row r="53" spans="2:7" ht="15" customHeight="1" x14ac:dyDescent="0.35">
      <c r="B53" s="17" t="s">
        <v>229</v>
      </c>
      <c r="C53" s="15" t="s">
        <v>230</v>
      </c>
      <c r="D53" s="24">
        <f>D14*(1-D51)</f>
        <v>321.3</v>
      </c>
      <c r="E53" s="19" t="s">
        <v>107</v>
      </c>
      <c r="F53" s="19" t="s">
        <v>103</v>
      </c>
    </row>
    <row r="54" spans="2:7" ht="15" customHeight="1" x14ac:dyDescent="0.35">
      <c r="B54" s="17" t="s">
        <v>231</v>
      </c>
      <c r="C54" s="15" t="s">
        <v>232</v>
      </c>
      <c r="D54" s="23">
        <v>1.8499999999999999E-2</v>
      </c>
      <c r="E54" s="19" t="s">
        <v>153</v>
      </c>
      <c r="F54" s="19" t="s">
        <v>233</v>
      </c>
    </row>
    <row r="55" spans="2:7" ht="15" customHeight="1" x14ac:dyDescent="0.35">
      <c r="B55" s="17" t="s">
        <v>234</v>
      </c>
      <c r="C55" s="15" t="s">
        <v>235</v>
      </c>
      <c r="D55" s="23">
        <v>3.2000000000000001E-2</v>
      </c>
      <c r="E55" s="19" t="s">
        <v>153</v>
      </c>
      <c r="F55" s="19" t="s">
        <v>236</v>
      </c>
    </row>
    <row r="56" spans="2:7" ht="15" customHeight="1" x14ac:dyDescent="0.35">
      <c r="B56" s="17" t="s">
        <v>237</v>
      </c>
      <c r="C56" s="15" t="s">
        <v>238</v>
      </c>
      <c r="D56" s="25">
        <f>D54+D55</f>
        <v>5.0500000000000003E-2</v>
      </c>
      <c r="E56" s="19" t="s">
        <v>153</v>
      </c>
      <c r="F56" s="19" t="s">
        <v>103</v>
      </c>
    </row>
    <row r="57" spans="2:7" ht="15" customHeight="1" x14ac:dyDescent="0.35">
      <c r="B57" s="17" t="s">
        <v>239</v>
      </c>
      <c r="C57" s="15" t="s">
        <v>240</v>
      </c>
      <c r="D57" s="20">
        <v>14</v>
      </c>
      <c r="E57" s="19" t="s">
        <v>93</v>
      </c>
      <c r="F57" s="19" t="s">
        <v>241</v>
      </c>
    </row>
    <row r="58" spans="2:7" ht="15" customHeight="1" x14ac:dyDescent="0.35">
      <c r="B58" s="17" t="s">
        <v>242</v>
      </c>
      <c r="C58" s="15" t="s">
        <v>243</v>
      </c>
      <c r="D58" s="20">
        <v>2</v>
      </c>
      <c r="E58" s="19" t="s">
        <v>93</v>
      </c>
      <c r="F58" s="19" t="s">
        <v>244</v>
      </c>
    </row>
    <row r="59" spans="2:7" ht="15" customHeight="1" x14ac:dyDescent="0.35">
      <c r="B59" s="17" t="s">
        <v>245</v>
      </c>
      <c r="C59" s="15" t="s">
        <v>246</v>
      </c>
      <c r="D59" s="27">
        <v>1.25</v>
      </c>
      <c r="E59" s="19" t="s">
        <v>247</v>
      </c>
      <c r="F59" s="19" t="s">
        <v>248</v>
      </c>
    </row>
    <row r="60" spans="2:7" ht="15" customHeight="1" x14ac:dyDescent="0.35">
      <c r="B60" s="17" t="s">
        <v>249</v>
      </c>
      <c r="C60" s="15" t="s">
        <v>250</v>
      </c>
      <c r="D60" s="20">
        <v>6</v>
      </c>
      <c r="E60" s="19" t="s">
        <v>251</v>
      </c>
      <c r="F60" s="19" t="s">
        <v>252</v>
      </c>
    </row>
    <row r="61" spans="2:7" ht="15" customHeight="1" x14ac:dyDescent="0.35">
      <c r="B61" s="17" t="s">
        <v>253</v>
      </c>
      <c r="C61" s="15" t="s">
        <v>254</v>
      </c>
      <c r="D61" s="23">
        <v>4.0000000000000001E-3</v>
      </c>
      <c r="E61" s="19" t="s">
        <v>255</v>
      </c>
      <c r="F61" s="19" t="s">
        <v>256</v>
      </c>
    </row>
    <row r="62" spans="2:7" ht="15" customHeight="1" x14ac:dyDescent="0.35">
      <c r="B62" s="17" t="s">
        <v>257</v>
      </c>
      <c r="C62" s="15" t="s">
        <v>258</v>
      </c>
      <c r="D62" s="23">
        <v>8.0000000000000002E-3</v>
      </c>
      <c r="E62" s="19" t="s">
        <v>259</v>
      </c>
      <c r="F62" s="19" t="s">
        <v>256</v>
      </c>
    </row>
    <row r="63" spans="2:7" ht="15" customHeight="1" x14ac:dyDescent="0.35">
      <c r="B63" s="4" t="s">
        <v>260</v>
      </c>
      <c r="C63" s="4"/>
      <c r="D63" s="4"/>
      <c r="E63" s="4"/>
      <c r="F63" s="4"/>
      <c r="G63" s="4"/>
    </row>
    <row r="64" spans="2:7" ht="15" customHeight="1" x14ac:dyDescent="0.35">
      <c r="B64" s="17" t="s">
        <v>261</v>
      </c>
      <c r="C64" s="15" t="s">
        <v>262</v>
      </c>
      <c r="D64" s="23">
        <v>0.17</v>
      </c>
      <c r="E64" s="19" t="s">
        <v>153</v>
      </c>
      <c r="F64" s="19" t="s">
        <v>263</v>
      </c>
    </row>
    <row r="65" spans="2:7" ht="15" customHeight="1" x14ac:dyDescent="0.35">
      <c r="B65" s="17" t="s">
        <v>264</v>
      </c>
      <c r="C65" s="15" t="s">
        <v>265</v>
      </c>
      <c r="D65" s="23">
        <v>0.1</v>
      </c>
      <c r="E65" s="19" t="s">
        <v>166</v>
      </c>
      <c r="F65" s="19" t="s">
        <v>266</v>
      </c>
    </row>
    <row r="66" spans="2:7" ht="15" customHeight="1" x14ac:dyDescent="0.35">
      <c r="B66" s="17" t="s">
        <v>267</v>
      </c>
      <c r="C66" s="15" t="s">
        <v>268</v>
      </c>
      <c r="D66" s="23">
        <v>0.04</v>
      </c>
      <c r="E66" s="19" t="s">
        <v>166</v>
      </c>
      <c r="F66" s="19" t="s">
        <v>269</v>
      </c>
    </row>
    <row r="67" spans="2:7" ht="15" customHeight="1" x14ac:dyDescent="0.35">
      <c r="B67" s="17" t="s">
        <v>270</v>
      </c>
      <c r="C67" s="15" t="s">
        <v>271</v>
      </c>
      <c r="D67" s="23">
        <v>0</v>
      </c>
      <c r="E67" s="19" t="s">
        <v>153</v>
      </c>
      <c r="F67" s="19" t="s">
        <v>272</v>
      </c>
    </row>
    <row r="68" spans="2:7" ht="15" customHeight="1" x14ac:dyDescent="0.35">
      <c r="B68" s="17" t="s">
        <v>273</v>
      </c>
      <c r="C68" s="15" t="s">
        <v>274</v>
      </c>
      <c r="D68" s="23">
        <v>0</v>
      </c>
      <c r="E68" s="19" t="s">
        <v>153</v>
      </c>
      <c r="F68" s="19" t="s">
        <v>275</v>
      </c>
    </row>
    <row r="69" spans="2:7" ht="15" customHeight="1" x14ac:dyDescent="0.35">
      <c r="B69" s="4" t="s">
        <v>276</v>
      </c>
      <c r="C69" s="4"/>
      <c r="D69" s="4"/>
      <c r="E69" s="4"/>
      <c r="F69" s="4"/>
      <c r="G69" s="4"/>
    </row>
    <row r="70" spans="2:7" ht="15" customHeight="1" x14ac:dyDescent="0.35">
      <c r="B70" s="17" t="s">
        <v>277</v>
      </c>
      <c r="C70" s="15" t="s">
        <v>278</v>
      </c>
      <c r="D70" s="23">
        <v>0.1</v>
      </c>
      <c r="E70" s="19" t="s">
        <v>153</v>
      </c>
      <c r="F70" s="19" t="s">
        <v>279</v>
      </c>
    </row>
    <row r="71" spans="2:7" ht="15" customHeight="1" x14ac:dyDescent="0.35">
      <c r="B71" s="17" t="s">
        <v>280</v>
      </c>
      <c r="C71" s="15" t="s">
        <v>281</v>
      </c>
      <c r="D71" s="23">
        <v>8.5000000000000006E-2</v>
      </c>
      <c r="E71" s="19" t="s">
        <v>153</v>
      </c>
      <c r="F71" s="19" t="s">
        <v>279</v>
      </c>
    </row>
    <row r="72" spans="2:7" ht="15" customHeight="1" x14ac:dyDescent="0.35">
      <c r="B72" s="17" t="s">
        <v>282</v>
      </c>
      <c r="C72" s="15" t="s">
        <v>283</v>
      </c>
      <c r="D72" s="27">
        <v>1.25</v>
      </c>
      <c r="E72" s="19" t="s">
        <v>247</v>
      </c>
      <c r="F72" s="19" t="s">
        <v>284</v>
      </c>
    </row>
    <row r="73" spans="2:7" ht="15" customHeight="1" x14ac:dyDescent="0.35">
      <c r="B73" s="17" t="s">
        <v>285</v>
      </c>
      <c r="C73" s="15" t="s">
        <v>286</v>
      </c>
      <c r="D73" s="20">
        <v>12</v>
      </c>
      <c r="E73" s="19" t="s">
        <v>93</v>
      </c>
      <c r="F73" s="19" t="s">
        <v>279</v>
      </c>
    </row>
    <row r="74" spans="2:7" ht="15" customHeight="1" x14ac:dyDescent="0.35">
      <c r="B74" s="17" t="s">
        <v>287</v>
      </c>
      <c r="C74" s="15" t="s">
        <v>288</v>
      </c>
      <c r="D74" s="28">
        <v>1.8</v>
      </c>
      <c r="E74" s="19" t="s">
        <v>247</v>
      </c>
      <c r="F74" s="19" t="s">
        <v>279</v>
      </c>
    </row>
  </sheetData>
  <mergeCells count="9">
    <mergeCell ref="B42:G42"/>
    <mergeCell ref="B48:G48"/>
    <mergeCell ref="B63:G63"/>
    <mergeCell ref="B69:G69"/>
    <mergeCell ref="B2:G2"/>
    <mergeCell ref="B4:G4"/>
    <mergeCell ref="B11:G11"/>
    <mergeCell ref="B22:G22"/>
    <mergeCell ref="B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16"/>
  <sheetViews>
    <sheetView showGridLines="0" zoomScaleNormal="100" workbookViewId="0">
      <pane xSplit="3" ySplit="4" topLeftCell="J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2" max="2" width="30" customWidth="1"/>
    <col min="3" max="22" width="8" customWidth="1"/>
  </cols>
  <sheetData>
    <row r="2" spans="2:23" ht="15" customHeight="1" x14ac:dyDescent="0.35">
      <c r="B2" s="5" t="s">
        <v>289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2:23" ht="15" customHeight="1" x14ac:dyDescent="0.35">
      <c r="B3" s="29" t="s">
        <v>290</v>
      </c>
      <c r="C3" s="30" t="s">
        <v>291</v>
      </c>
      <c r="D3" s="30" t="s">
        <v>292</v>
      </c>
      <c r="E3" s="30" t="s">
        <v>293</v>
      </c>
      <c r="F3" s="30" t="s">
        <v>294</v>
      </c>
      <c r="G3" s="30" t="s">
        <v>295</v>
      </c>
      <c r="H3" s="30" t="s">
        <v>296</v>
      </c>
      <c r="I3" s="30" t="s">
        <v>297</v>
      </c>
      <c r="J3" s="30" t="s">
        <v>298</v>
      </c>
      <c r="K3" s="30" t="s">
        <v>299</v>
      </c>
      <c r="L3" s="30" t="s">
        <v>300</v>
      </c>
      <c r="M3" s="30" t="s">
        <v>301</v>
      </c>
      <c r="N3" s="30" t="s">
        <v>302</v>
      </c>
      <c r="O3" s="30" t="s">
        <v>303</v>
      </c>
      <c r="P3" s="30" t="s">
        <v>304</v>
      </c>
      <c r="Q3" s="30" t="s">
        <v>305</v>
      </c>
      <c r="R3" s="30" t="s">
        <v>306</v>
      </c>
      <c r="S3" s="30" t="s">
        <v>307</v>
      </c>
      <c r="T3" s="30" t="s">
        <v>308</v>
      </c>
      <c r="U3" s="30" t="s">
        <v>309</v>
      </c>
      <c r="V3" s="30" t="s">
        <v>310</v>
      </c>
    </row>
    <row r="5" spans="2:23" ht="15" customHeight="1" x14ac:dyDescent="0.35">
      <c r="B5" s="15" t="s">
        <v>311</v>
      </c>
      <c r="C5" s="31">
        <v>0</v>
      </c>
      <c r="D5" s="31">
        <v>0</v>
      </c>
      <c r="E5" s="31">
        <v>0</v>
      </c>
      <c r="F5" s="31">
        <v>0.72</v>
      </c>
      <c r="G5" s="31">
        <v>0.82</v>
      </c>
      <c r="H5" s="31">
        <v>0.87</v>
      </c>
      <c r="I5" s="31">
        <v>0.87</v>
      </c>
      <c r="J5" s="31">
        <v>0.87</v>
      </c>
      <c r="K5" s="31">
        <v>0.87</v>
      </c>
      <c r="L5" s="31">
        <v>0.87</v>
      </c>
      <c r="M5" s="31">
        <v>0.87</v>
      </c>
      <c r="N5" s="31">
        <v>0.87</v>
      </c>
      <c r="O5" s="31">
        <v>0.87</v>
      </c>
      <c r="P5" s="31">
        <v>0.87</v>
      </c>
      <c r="Q5" s="31">
        <v>0.87</v>
      </c>
      <c r="R5" s="31">
        <v>0.87</v>
      </c>
      <c r="S5" s="31">
        <v>0.87</v>
      </c>
      <c r="T5" s="31">
        <v>0.87</v>
      </c>
      <c r="U5" s="31">
        <v>0.87</v>
      </c>
      <c r="V5" s="31">
        <v>0.87</v>
      </c>
    </row>
    <row r="6" spans="2:23" ht="15" customHeight="1" x14ac:dyDescent="0.35">
      <c r="B6" s="15" t="s">
        <v>312</v>
      </c>
      <c r="C6" s="32">
        <v>0</v>
      </c>
      <c r="D6" s="32">
        <v>0</v>
      </c>
      <c r="E6" s="32">
        <v>0</v>
      </c>
      <c r="F6" s="32">
        <v>4.2</v>
      </c>
      <c r="G6" s="32">
        <v>5.8</v>
      </c>
      <c r="H6" s="32">
        <v>7.1</v>
      </c>
      <c r="I6" s="32">
        <v>7.8</v>
      </c>
      <c r="J6" s="32">
        <v>8.1999999999999993</v>
      </c>
      <c r="K6" s="32">
        <v>8.6</v>
      </c>
      <c r="L6" s="32">
        <v>8.9</v>
      </c>
      <c r="M6" s="32">
        <v>9.1999999999999993</v>
      </c>
      <c r="N6" s="32">
        <v>9.4</v>
      </c>
      <c r="O6" s="32">
        <v>9.6</v>
      </c>
      <c r="P6" s="32">
        <v>9.8000000000000007</v>
      </c>
      <c r="Q6" s="32">
        <v>10</v>
      </c>
      <c r="R6" s="32">
        <v>10.1</v>
      </c>
      <c r="S6" s="32">
        <v>10.199999999999999</v>
      </c>
      <c r="T6" s="32">
        <v>10.3</v>
      </c>
      <c r="U6" s="32">
        <v>10.3</v>
      </c>
      <c r="V6" s="32">
        <v>10.4</v>
      </c>
    </row>
    <row r="7" spans="2:23" ht="15" customHeight="1" x14ac:dyDescent="0.35">
      <c r="B7" s="15" t="s">
        <v>313</v>
      </c>
      <c r="C7" s="33">
        <v>0.48</v>
      </c>
      <c r="D7" s="33">
        <v>0.48</v>
      </c>
      <c r="E7" s="33">
        <v>0.48</v>
      </c>
      <c r="F7" s="33">
        <v>0.48</v>
      </c>
      <c r="G7" s="33">
        <v>0.48</v>
      </c>
      <c r="H7" s="33">
        <v>0.48</v>
      </c>
      <c r="I7" s="33">
        <v>0.48</v>
      </c>
      <c r="J7" s="33">
        <v>0.48</v>
      </c>
      <c r="K7" s="33">
        <v>0.48</v>
      </c>
      <c r="L7" s="33">
        <v>0.48</v>
      </c>
      <c r="M7" s="33">
        <v>0.48</v>
      </c>
      <c r="N7" s="33">
        <v>0.48</v>
      </c>
      <c r="O7" s="33">
        <v>0.48</v>
      </c>
      <c r="P7" s="33">
        <v>0.48</v>
      </c>
      <c r="Q7" s="33">
        <v>0.48</v>
      </c>
      <c r="R7" s="33">
        <v>0.48</v>
      </c>
      <c r="S7" s="33">
        <v>0.48</v>
      </c>
      <c r="T7" s="33">
        <v>0.48</v>
      </c>
      <c r="U7" s="33">
        <v>0.48</v>
      </c>
      <c r="V7" s="33">
        <v>0.48</v>
      </c>
    </row>
    <row r="8" spans="2:23" ht="15" customHeight="1" x14ac:dyDescent="0.35">
      <c r="B8" s="15" t="s">
        <v>314</v>
      </c>
      <c r="C8" s="34">
        <f t="shared" ref="C8:V8" si="0">IF(C6=0,0,C6*C7*0.78)</f>
        <v>0</v>
      </c>
      <c r="D8" s="34">
        <f t="shared" si="0"/>
        <v>0</v>
      </c>
      <c r="E8" s="34">
        <f t="shared" si="0"/>
        <v>0</v>
      </c>
      <c r="F8" s="34">
        <f t="shared" si="0"/>
        <v>1.5724800000000001</v>
      </c>
      <c r="G8" s="34">
        <f t="shared" si="0"/>
        <v>2.1715200000000001</v>
      </c>
      <c r="H8" s="34">
        <f t="shared" si="0"/>
        <v>2.6582400000000002</v>
      </c>
      <c r="I8" s="34">
        <f t="shared" si="0"/>
        <v>2.9203199999999998</v>
      </c>
      <c r="J8" s="34">
        <f t="shared" si="0"/>
        <v>3.0700799999999999</v>
      </c>
      <c r="K8" s="34">
        <f t="shared" si="0"/>
        <v>3.21984</v>
      </c>
      <c r="L8" s="34">
        <f t="shared" si="0"/>
        <v>3.3321600000000005</v>
      </c>
      <c r="M8" s="34">
        <f t="shared" si="0"/>
        <v>3.4444799999999995</v>
      </c>
      <c r="N8" s="34">
        <f t="shared" si="0"/>
        <v>3.5193599999999998</v>
      </c>
      <c r="O8" s="34">
        <f t="shared" si="0"/>
        <v>3.5942399999999997</v>
      </c>
      <c r="P8" s="34">
        <f t="shared" si="0"/>
        <v>3.6691199999999999</v>
      </c>
      <c r="Q8" s="34">
        <f t="shared" si="0"/>
        <v>3.7439999999999998</v>
      </c>
      <c r="R8" s="34">
        <f t="shared" si="0"/>
        <v>3.7814399999999999</v>
      </c>
      <c r="S8" s="34">
        <f t="shared" si="0"/>
        <v>3.8188800000000001</v>
      </c>
      <c r="T8" s="34">
        <f t="shared" si="0"/>
        <v>3.8563200000000002</v>
      </c>
      <c r="U8" s="34">
        <f t="shared" si="0"/>
        <v>3.8563200000000002</v>
      </c>
      <c r="V8" s="34">
        <f t="shared" si="0"/>
        <v>3.8937600000000003</v>
      </c>
    </row>
    <row r="9" spans="2:23" ht="15" customHeight="1" x14ac:dyDescent="0.35">
      <c r="B9" s="15" t="s">
        <v>315</v>
      </c>
      <c r="C9" s="34">
        <f t="shared" ref="C9:V9" si="1">IF(C6=0,0,C6*0.46*0.22)</f>
        <v>0</v>
      </c>
      <c r="D9" s="34">
        <f t="shared" si="1"/>
        <v>0</v>
      </c>
      <c r="E9" s="34">
        <f t="shared" si="1"/>
        <v>0</v>
      </c>
      <c r="F9" s="34">
        <f t="shared" si="1"/>
        <v>0.42504000000000003</v>
      </c>
      <c r="G9" s="34">
        <f t="shared" si="1"/>
        <v>0.58696000000000004</v>
      </c>
      <c r="H9" s="34">
        <f t="shared" si="1"/>
        <v>0.71852000000000005</v>
      </c>
      <c r="I9" s="34">
        <f t="shared" si="1"/>
        <v>0.78936000000000006</v>
      </c>
      <c r="J9" s="34">
        <f t="shared" si="1"/>
        <v>0.82983999999999991</v>
      </c>
      <c r="K9" s="34">
        <f t="shared" si="1"/>
        <v>0.87031999999999998</v>
      </c>
      <c r="L9" s="34">
        <f t="shared" si="1"/>
        <v>0.90068000000000004</v>
      </c>
      <c r="M9" s="34">
        <f t="shared" si="1"/>
        <v>0.93104000000000009</v>
      </c>
      <c r="N9" s="34">
        <f t="shared" si="1"/>
        <v>0.95128000000000013</v>
      </c>
      <c r="O9" s="34">
        <f t="shared" si="1"/>
        <v>0.97152000000000005</v>
      </c>
      <c r="P9" s="34">
        <f t="shared" si="1"/>
        <v>0.9917600000000002</v>
      </c>
      <c r="Q9" s="34">
        <f t="shared" si="1"/>
        <v>1.0120000000000002</v>
      </c>
      <c r="R9" s="34">
        <f t="shared" si="1"/>
        <v>1.0221199999999999</v>
      </c>
      <c r="S9" s="34">
        <f t="shared" si="1"/>
        <v>1.03224</v>
      </c>
      <c r="T9" s="34">
        <f t="shared" si="1"/>
        <v>1.0423600000000002</v>
      </c>
      <c r="U9" s="34">
        <f t="shared" si="1"/>
        <v>1.0423600000000002</v>
      </c>
      <c r="V9" s="34">
        <f t="shared" si="1"/>
        <v>1.0524800000000001</v>
      </c>
    </row>
    <row r="10" spans="2:23" ht="15" customHeight="1" x14ac:dyDescent="0.35">
      <c r="B10" s="15" t="s">
        <v>316</v>
      </c>
      <c r="C10" s="34">
        <f t="shared" ref="C10:V10" si="2">IF(C6=0,0,0.18*200000*2*12/1000000)</f>
        <v>0</v>
      </c>
      <c r="D10" s="34">
        <f t="shared" si="2"/>
        <v>0</v>
      </c>
      <c r="E10" s="34">
        <f t="shared" si="2"/>
        <v>0</v>
      </c>
      <c r="F10" s="34">
        <f t="shared" si="2"/>
        <v>0.86399999999999999</v>
      </c>
      <c r="G10" s="34">
        <f t="shared" si="2"/>
        <v>0.86399999999999999</v>
      </c>
      <c r="H10" s="34">
        <f t="shared" si="2"/>
        <v>0.86399999999999999</v>
      </c>
      <c r="I10" s="34">
        <f t="shared" si="2"/>
        <v>0.86399999999999999</v>
      </c>
      <c r="J10" s="34">
        <f t="shared" si="2"/>
        <v>0.86399999999999999</v>
      </c>
      <c r="K10" s="34">
        <f t="shared" si="2"/>
        <v>0.86399999999999999</v>
      </c>
      <c r="L10" s="34">
        <f t="shared" si="2"/>
        <v>0.86399999999999999</v>
      </c>
      <c r="M10" s="34">
        <f t="shared" si="2"/>
        <v>0.86399999999999999</v>
      </c>
      <c r="N10" s="34">
        <f t="shared" si="2"/>
        <v>0.86399999999999999</v>
      </c>
      <c r="O10" s="34">
        <f t="shared" si="2"/>
        <v>0.86399999999999999</v>
      </c>
      <c r="P10" s="34">
        <f t="shared" si="2"/>
        <v>0.86399999999999999</v>
      </c>
      <c r="Q10" s="34">
        <f t="shared" si="2"/>
        <v>0.86399999999999999</v>
      </c>
      <c r="R10" s="34">
        <f t="shared" si="2"/>
        <v>0.86399999999999999</v>
      </c>
      <c r="S10" s="34">
        <f t="shared" si="2"/>
        <v>0.86399999999999999</v>
      </c>
      <c r="T10" s="34">
        <f t="shared" si="2"/>
        <v>0.86399999999999999</v>
      </c>
      <c r="U10" s="34">
        <f t="shared" si="2"/>
        <v>0.86399999999999999</v>
      </c>
      <c r="V10" s="34">
        <f t="shared" si="2"/>
        <v>0.86399999999999999</v>
      </c>
    </row>
    <row r="11" spans="2:23" ht="15" customHeight="1" x14ac:dyDescent="0.35">
      <c r="B11" s="15" t="s">
        <v>317</v>
      </c>
      <c r="C11" s="35">
        <v>0</v>
      </c>
      <c r="D11" s="35">
        <v>0</v>
      </c>
      <c r="E11" s="35">
        <v>0</v>
      </c>
      <c r="F11" s="35">
        <v>4.5</v>
      </c>
      <c r="G11" s="35">
        <v>4.6124999999999998</v>
      </c>
      <c r="H11" s="35">
        <v>4.7278000000000002</v>
      </c>
      <c r="I11" s="35">
        <v>4.8460000000000001</v>
      </c>
      <c r="J11" s="35">
        <v>4.9672000000000001</v>
      </c>
      <c r="K11" s="35">
        <v>5.0913000000000004</v>
      </c>
      <c r="L11" s="35">
        <v>5.2186000000000003</v>
      </c>
      <c r="M11" s="35">
        <v>5.3491</v>
      </c>
      <c r="N11" s="35">
        <v>5.4828000000000001</v>
      </c>
      <c r="O11" s="35">
        <v>5.6199000000000003</v>
      </c>
      <c r="P11" s="35">
        <v>5.7603999999999997</v>
      </c>
      <c r="Q11" s="35">
        <v>5.9043999999999999</v>
      </c>
      <c r="R11" s="35">
        <v>6.0519999999999996</v>
      </c>
      <c r="S11" s="35">
        <v>6.2032999999999996</v>
      </c>
      <c r="T11" s="35">
        <v>6.3583999999999996</v>
      </c>
      <c r="U11" s="35">
        <v>6.5172999999999996</v>
      </c>
      <c r="V11" s="35">
        <v>6.6802999999999999</v>
      </c>
    </row>
    <row r="12" spans="2:23" ht="15" customHeight="1" x14ac:dyDescent="0.35">
      <c r="B12" s="15" t="s">
        <v>318</v>
      </c>
      <c r="C12" s="34">
        <f t="shared" ref="C12:V12" si="3">IF(C6=0,0,C6*1055.87*6/1000000)</f>
        <v>0</v>
      </c>
      <c r="D12" s="34">
        <f t="shared" si="3"/>
        <v>0</v>
      </c>
      <c r="E12" s="34">
        <f t="shared" si="3"/>
        <v>0</v>
      </c>
      <c r="F12" s="34">
        <f t="shared" si="3"/>
        <v>2.6607923999999998E-2</v>
      </c>
      <c r="G12" s="34">
        <f t="shared" si="3"/>
        <v>3.6744275999999999E-2</v>
      </c>
      <c r="H12" s="34">
        <f t="shared" si="3"/>
        <v>4.4980061999999987E-2</v>
      </c>
      <c r="I12" s="34">
        <f t="shared" si="3"/>
        <v>4.9414715999999984E-2</v>
      </c>
      <c r="J12" s="34">
        <f t="shared" si="3"/>
        <v>5.1948803999999987E-2</v>
      </c>
      <c r="K12" s="34">
        <f t="shared" si="3"/>
        <v>5.4482891999999991E-2</v>
      </c>
      <c r="L12" s="34">
        <f t="shared" si="3"/>
        <v>5.638345799999999E-2</v>
      </c>
      <c r="M12" s="34">
        <f t="shared" si="3"/>
        <v>5.828402399999999E-2</v>
      </c>
      <c r="N12" s="34">
        <f t="shared" si="3"/>
        <v>5.9551067999999999E-2</v>
      </c>
      <c r="O12" s="34">
        <f t="shared" si="3"/>
        <v>6.0818111999999994E-2</v>
      </c>
      <c r="P12" s="34">
        <f t="shared" si="3"/>
        <v>6.2085156000000002E-2</v>
      </c>
      <c r="Q12" s="34">
        <f t="shared" si="3"/>
        <v>6.3352199999999997E-2</v>
      </c>
      <c r="R12" s="34">
        <f t="shared" si="3"/>
        <v>6.3985721999999995E-2</v>
      </c>
      <c r="S12" s="34">
        <f t="shared" si="3"/>
        <v>6.4619243999999992E-2</v>
      </c>
      <c r="T12" s="34">
        <f t="shared" si="3"/>
        <v>6.525276599999999E-2</v>
      </c>
      <c r="U12" s="34">
        <f t="shared" si="3"/>
        <v>6.525276599999999E-2</v>
      </c>
      <c r="V12" s="34">
        <f t="shared" si="3"/>
        <v>6.5886288000000001E-2</v>
      </c>
    </row>
    <row r="13" spans="2:23" ht="15" customHeight="1" x14ac:dyDescent="0.35">
      <c r="B13" s="15" t="s">
        <v>319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spans="2:23" ht="15" customHeight="1" x14ac:dyDescent="0.35">
      <c r="B14" s="37" t="s">
        <v>320</v>
      </c>
      <c r="C14" s="38">
        <f t="shared" ref="C14:V14" si="4">SUM(C8:C11)+C12</f>
        <v>0</v>
      </c>
      <c r="D14" s="38">
        <f t="shared" si="4"/>
        <v>0</v>
      </c>
      <c r="E14" s="38">
        <f t="shared" si="4"/>
        <v>0</v>
      </c>
      <c r="F14" s="38">
        <f t="shared" si="4"/>
        <v>7.3881279240000008</v>
      </c>
      <c r="G14" s="38">
        <f t="shared" si="4"/>
        <v>8.2717242760000005</v>
      </c>
      <c r="H14" s="38">
        <f t="shared" si="4"/>
        <v>9.0135400620000006</v>
      </c>
      <c r="I14" s="38">
        <f t="shared" si="4"/>
        <v>9.469094715999999</v>
      </c>
      <c r="J14" s="38">
        <f t="shared" si="4"/>
        <v>9.7830688040000009</v>
      </c>
      <c r="K14" s="38">
        <f t="shared" si="4"/>
        <v>10.099942892</v>
      </c>
      <c r="L14" s="38">
        <f t="shared" si="4"/>
        <v>10.371823458</v>
      </c>
      <c r="M14" s="38">
        <f t="shared" si="4"/>
        <v>10.646904023999999</v>
      </c>
      <c r="N14" s="38">
        <f t="shared" si="4"/>
        <v>10.876991067999999</v>
      </c>
      <c r="O14" s="38">
        <f t="shared" si="4"/>
        <v>11.110478111999999</v>
      </c>
      <c r="P14" s="38">
        <f t="shared" si="4"/>
        <v>11.347365156</v>
      </c>
      <c r="Q14" s="38">
        <f t="shared" si="4"/>
        <v>11.587752200000001</v>
      </c>
      <c r="R14" s="38">
        <f t="shared" si="4"/>
        <v>11.783545722</v>
      </c>
      <c r="S14" s="38">
        <f t="shared" si="4"/>
        <v>11.983039243999999</v>
      </c>
      <c r="T14" s="38">
        <f t="shared" si="4"/>
        <v>12.186332766</v>
      </c>
      <c r="U14" s="38">
        <f t="shared" si="4"/>
        <v>12.345232766000001</v>
      </c>
      <c r="V14" s="38">
        <f t="shared" si="4"/>
        <v>12.556426287999999</v>
      </c>
    </row>
    <row r="15" spans="2:23" ht="15" customHeight="1" x14ac:dyDescent="0.35">
      <c r="B15" s="15" t="s">
        <v>321</v>
      </c>
      <c r="C15" s="36"/>
      <c r="D15" s="39" t="str">
        <f t="shared" ref="D15:V15" si="5">IF(C14=0,"-",D14/C14-1)</f>
        <v>-</v>
      </c>
      <c r="E15" s="39" t="str">
        <f t="shared" si="5"/>
        <v>-</v>
      </c>
      <c r="F15" s="39" t="str">
        <f t="shared" si="5"/>
        <v>-</v>
      </c>
      <c r="G15" s="39">
        <f t="shared" si="5"/>
        <v>0.11959678569312215</v>
      </c>
      <c r="H15" s="39">
        <f t="shared" si="5"/>
        <v>8.9680913102041071E-2</v>
      </c>
      <c r="I15" s="39">
        <f t="shared" si="5"/>
        <v>5.0541147081662352E-2</v>
      </c>
      <c r="J15" s="39">
        <f t="shared" si="5"/>
        <v>3.3157772460494783E-2</v>
      </c>
      <c r="K15" s="39">
        <f t="shared" si="5"/>
        <v>3.2390050029131867E-2</v>
      </c>
      <c r="L15" s="39">
        <f t="shared" si="5"/>
        <v>2.6919020127861515E-2</v>
      </c>
      <c r="M15" s="39">
        <f t="shared" si="5"/>
        <v>2.6521909779309238E-2</v>
      </c>
      <c r="N15" s="39">
        <f t="shared" si="5"/>
        <v>2.1610699549966972E-2</v>
      </c>
      <c r="O15" s="39">
        <f t="shared" si="5"/>
        <v>2.1466142845967484E-2</v>
      </c>
      <c r="P15" s="39">
        <f t="shared" si="5"/>
        <v>2.1321048618434313E-2</v>
      </c>
      <c r="Q15" s="39">
        <f t="shared" si="5"/>
        <v>2.1184393089958231E-2</v>
      </c>
      <c r="R15" s="39">
        <f t="shared" si="5"/>
        <v>1.6896592075898775E-2</v>
      </c>
      <c r="S15" s="39">
        <f t="shared" si="5"/>
        <v>1.6929838157927479E-2</v>
      </c>
      <c r="T15" s="39">
        <f t="shared" si="5"/>
        <v>1.6965105250889678E-2</v>
      </c>
      <c r="U15" s="39">
        <f t="shared" si="5"/>
        <v>1.3039197521614865E-2</v>
      </c>
      <c r="V15" s="39">
        <f t="shared" si="5"/>
        <v>1.7107293641448917E-2</v>
      </c>
    </row>
    <row r="16" spans="2:23" ht="15" customHeight="1" x14ac:dyDescent="0.35">
      <c r="B16" s="15" t="s">
        <v>322</v>
      </c>
      <c r="C16" s="40">
        <f t="shared" ref="C16:V16" si="6">IF(C6=0,0,C14/C6)</f>
        <v>0</v>
      </c>
      <c r="D16" s="40">
        <f t="shared" si="6"/>
        <v>0</v>
      </c>
      <c r="E16" s="40">
        <f t="shared" si="6"/>
        <v>0</v>
      </c>
      <c r="F16" s="40">
        <f t="shared" si="6"/>
        <v>1.7590780771428574</v>
      </c>
      <c r="G16" s="40">
        <f t="shared" si="6"/>
        <v>1.4261593579310345</v>
      </c>
      <c r="H16" s="40">
        <f t="shared" si="6"/>
        <v>1.2695126847887326</v>
      </c>
      <c r="I16" s="40">
        <f t="shared" si="6"/>
        <v>1.2139865020512819</v>
      </c>
      <c r="J16" s="40">
        <f t="shared" si="6"/>
        <v>1.1930571712195124</v>
      </c>
      <c r="K16" s="40">
        <f t="shared" si="6"/>
        <v>1.1744119641860464</v>
      </c>
      <c r="L16" s="40">
        <f t="shared" si="6"/>
        <v>1.165373422247191</v>
      </c>
      <c r="M16" s="40">
        <f t="shared" si="6"/>
        <v>1.1572721765217391</v>
      </c>
      <c r="N16" s="40">
        <f t="shared" si="6"/>
        <v>1.1571267093617019</v>
      </c>
      <c r="O16" s="40">
        <f t="shared" si="6"/>
        <v>1.15734147</v>
      </c>
      <c r="P16" s="40">
        <f t="shared" si="6"/>
        <v>1.1578944036734693</v>
      </c>
      <c r="Q16" s="40">
        <f t="shared" si="6"/>
        <v>1.1587752200000001</v>
      </c>
      <c r="R16" s="40">
        <f t="shared" si="6"/>
        <v>1.1666876952475247</v>
      </c>
      <c r="S16" s="40">
        <f t="shared" si="6"/>
        <v>1.1748077690196077</v>
      </c>
      <c r="T16" s="40">
        <f t="shared" si="6"/>
        <v>1.1831391034951455</v>
      </c>
      <c r="U16" s="40">
        <f t="shared" si="6"/>
        <v>1.1985662879611649</v>
      </c>
      <c r="V16" s="40">
        <f t="shared" si="6"/>
        <v>1.2073486815384613</v>
      </c>
    </row>
  </sheetData>
  <mergeCells count="1">
    <mergeCell ref="B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W20"/>
  <sheetViews>
    <sheetView showGridLines="0" zoomScaleNormal="100" workbookViewId="0">
      <pane xSplit="3" ySplit="4" topLeftCell="E11" activePane="bottomRight" state="frozen"/>
      <selection pane="topRight" activeCell="D1" sqref="D1"/>
      <selection pane="bottomLeft" activeCell="A5" sqref="A5"/>
      <selection pane="bottomRight" activeCell="H17" sqref="H17"/>
    </sheetView>
  </sheetViews>
  <sheetFormatPr defaultColWidth="8.6328125" defaultRowHeight="14.5" x14ac:dyDescent="0.35"/>
  <cols>
    <col min="2" max="2" width="38" customWidth="1"/>
    <col min="3" max="22" width="8" customWidth="1"/>
  </cols>
  <sheetData>
    <row r="2" spans="2:23" ht="15" customHeight="1" x14ac:dyDescent="0.35">
      <c r="B2" s="5" t="s">
        <v>323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2:23" ht="15" customHeight="1" x14ac:dyDescent="0.35">
      <c r="B3" s="29" t="s">
        <v>324</v>
      </c>
      <c r="C3" s="30" t="s">
        <v>291</v>
      </c>
      <c r="D3" s="30" t="s">
        <v>292</v>
      </c>
      <c r="E3" s="30" t="s">
        <v>293</v>
      </c>
      <c r="F3" s="30" t="s">
        <v>294</v>
      </c>
      <c r="G3" s="30" t="s">
        <v>295</v>
      </c>
      <c r="H3" s="30" t="s">
        <v>296</v>
      </c>
      <c r="I3" s="30" t="s">
        <v>297</v>
      </c>
      <c r="J3" s="30" t="s">
        <v>298</v>
      </c>
      <c r="K3" s="30" t="s">
        <v>299</v>
      </c>
      <c r="L3" s="30" t="s">
        <v>300</v>
      </c>
      <c r="M3" s="30" t="s">
        <v>301</v>
      </c>
      <c r="N3" s="30" t="s">
        <v>302</v>
      </c>
      <c r="O3" s="30" t="s">
        <v>303</v>
      </c>
      <c r="P3" s="30" t="s">
        <v>304</v>
      </c>
      <c r="Q3" s="30" t="s">
        <v>305</v>
      </c>
      <c r="R3" s="30" t="s">
        <v>306</v>
      </c>
      <c r="S3" s="30" t="s">
        <v>307</v>
      </c>
      <c r="T3" s="30" t="s">
        <v>308</v>
      </c>
      <c r="U3" s="30" t="s">
        <v>309</v>
      </c>
      <c r="V3" s="30" t="s">
        <v>310</v>
      </c>
    </row>
    <row r="5" spans="2:23" ht="15" customHeight="1" x14ac:dyDescent="0.35">
      <c r="B5" s="4" t="s">
        <v>325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2:23" ht="15" customHeight="1" x14ac:dyDescent="0.35">
      <c r="B6" s="15" t="s">
        <v>326</v>
      </c>
      <c r="C6" s="41">
        <v>26</v>
      </c>
      <c r="D6" s="41">
        <v>118</v>
      </c>
      <c r="E6" s="41">
        <v>66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</row>
    <row r="7" spans="2:23" ht="15" customHeight="1" x14ac:dyDescent="0.35">
      <c r="B7" s="15" t="s">
        <v>327</v>
      </c>
      <c r="C7" s="41">
        <v>20</v>
      </c>
      <c r="D7" s="41">
        <v>105</v>
      </c>
      <c r="E7" s="41">
        <v>75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</row>
    <row r="8" spans="2:23" ht="15" customHeight="1" x14ac:dyDescent="0.35">
      <c r="B8" s="15" t="s">
        <v>328</v>
      </c>
      <c r="C8" s="41">
        <v>8</v>
      </c>
      <c r="D8" s="41">
        <v>28</v>
      </c>
      <c r="E8" s="41">
        <v>14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</row>
    <row r="9" spans="2:23" ht="15" customHeight="1" x14ac:dyDescent="0.35">
      <c r="B9" s="15" t="s">
        <v>329</v>
      </c>
      <c r="C9" s="41">
        <v>12</v>
      </c>
      <c r="D9" s="41">
        <v>55</v>
      </c>
      <c r="E9" s="41">
        <v>33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</row>
    <row r="10" spans="2:23" ht="15" customHeight="1" x14ac:dyDescent="0.35">
      <c r="B10" s="15" t="s">
        <v>330</v>
      </c>
      <c r="C10" s="41">
        <v>5</v>
      </c>
      <c r="D10" s="41">
        <v>55</v>
      </c>
      <c r="E10" s="41">
        <v>35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</row>
    <row r="11" spans="2:23" ht="15" customHeight="1" x14ac:dyDescent="0.35">
      <c r="B11" s="15" t="s">
        <v>331</v>
      </c>
      <c r="C11" s="41">
        <v>8</v>
      </c>
      <c r="D11" s="41">
        <v>45</v>
      </c>
      <c r="E11" s="41">
        <v>27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</row>
    <row r="12" spans="2:23" ht="15" customHeight="1" x14ac:dyDescent="0.35">
      <c r="B12" s="15" t="s">
        <v>332</v>
      </c>
      <c r="C12" s="41">
        <v>4</v>
      </c>
      <c r="D12" s="41">
        <v>24</v>
      </c>
      <c r="E12" s="41">
        <v>12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</row>
    <row r="13" spans="2:23" ht="15" customHeight="1" x14ac:dyDescent="0.35">
      <c r="B13" s="15" t="s">
        <v>333</v>
      </c>
      <c r="C13" s="41">
        <v>2</v>
      </c>
      <c r="D13" s="41">
        <v>18</v>
      </c>
      <c r="E13" s="41">
        <v>10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</row>
    <row r="14" spans="2:23" ht="15" customHeight="1" x14ac:dyDescent="0.35">
      <c r="B14" s="43" t="s">
        <v>334</v>
      </c>
      <c r="C14" s="44">
        <f t="shared" ref="C14:V14" si="0">SUM(C7:C13)</f>
        <v>59</v>
      </c>
      <c r="D14" s="44">
        <f t="shared" si="0"/>
        <v>330</v>
      </c>
      <c r="E14" s="44">
        <f t="shared" si="0"/>
        <v>206</v>
      </c>
      <c r="F14" s="44">
        <f t="shared" si="0"/>
        <v>0</v>
      </c>
      <c r="G14" s="44">
        <f t="shared" si="0"/>
        <v>0</v>
      </c>
      <c r="H14" s="44">
        <f t="shared" si="0"/>
        <v>0</v>
      </c>
      <c r="I14" s="44">
        <f t="shared" si="0"/>
        <v>0</v>
      </c>
      <c r="J14" s="44">
        <f t="shared" si="0"/>
        <v>0</v>
      </c>
      <c r="K14" s="44">
        <f t="shared" si="0"/>
        <v>0</v>
      </c>
      <c r="L14" s="44">
        <f t="shared" si="0"/>
        <v>0</v>
      </c>
      <c r="M14" s="44">
        <f t="shared" si="0"/>
        <v>0</v>
      </c>
      <c r="N14" s="44">
        <f t="shared" si="0"/>
        <v>0</v>
      </c>
      <c r="O14" s="44">
        <f t="shared" si="0"/>
        <v>0</v>
      </c>
      <c r="P14" s="44">
        <f t="shared" si="0"/>
        <v>0</v>
      </c>
      <c r="Q14" s="44">
        <f t="shared" si="0"/>
        <v>0</v>
      </c>
      <c r="R14" s="44">
        <f t="shared" si="0"/>
        <v>0</v>
      </c>
      <c r="S14" s="44">
        <f t="shared" si="0"/>
        <v>0</v>
      </c>
      <c r="T14" s="44">
        <f t="shared" si="0"/>
        <v>0</v>
      </c>
      <c r="U14" s="44">
        <f t="shared" si="0"/>
        <v>0</v>
      </c>
      <c r="V14" s="44">
        <f t="shared" si="0"/>
        <v>0</v>
      </c>
    </row>
    <row r="16" spans="2:23" ht="15" customHeight="1" x14ac:dyDescent="0.35">
      <c r="B16" s="4" t="s">
        <v>335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2:22" ht="15" customHeight="1" x14ac:dyDescent="0.35">
      <c r="B17" s="15" t="s">
        <v>336</v>
      </c>
      <c r="C17" s="42">
        <v>0</v>
      </c>
      <c r="D17" s="42">
        <v>0</v>
      </c>
      <c r="E17" s="42">
        <v>0</v>
      </c>
      <c r="F17" s="41">
        <v>8.5</v>
      </c>
      <c r="G17" s="41">
        <v>8.5</v>
      </c>
      <c r="H17" s="41">
        <v>8.5</v>
      </c>
      <c r="I17" s="41">
        <v>8.5</v>
      </c>
      <c r="J17" s="41">
        <v>8.5</v>
      </c>
      <c r="K17" s="41">
        <v>11</v>
      </c>
      <c r="L17" s="41">
        <v>11</v>
      </c>
      <c r="M17" s="41">
        <v>11</v>
      </c>
      <c r="N17" s="41">
        <v>11</v>
      </c>
      <c r="O17" s="41">
        <v>11</v>
      </c>
      <c r="P17" s="41">
        <v>14.5</v>
      </c>
      <c r="Q17" s="41">
        <v>14.5</v>
      </c>
      <c r="R17" s="41">
        <v>14.5</v>
      </c>
      <c r="S17" s="41">
        <v>14.5</v>
      </c>
      <c r="T17" s="41">
        <v>14.5</v>
      </c>
      <c r="U17" s="41">
        <v>14.5</v>
      </c>
      <c r="V17" s="41">
        <v>14.5</v>
      </c>
    </row>
    <row r="19" spans="2:22" ht="15" customHeight="1" x14ac:dyDescent="0.35">
      <c r="B19" s="43" t="s">
        <v>337</v>
      </c>
      <c r="C19" s="44">
        <f t="shared" ref="C19:V19" si="1">C14+C17</f>
        <v>59</v>
      </c>
      <c r="D19" s="44">
        <f t="shared" si="1"/>
        <v>330</v>
      </c>
      <c r="E19" s="44">
        <f t="shared" si="1"/>
        <v>206</v>
      </c>
      <c r="F19" s="44">
        <f t="shared" si="1"/>
        <v>8.5</v>
      </c>
      <c r="G19" s="44">
        <f t="shared" si="1"/>
        <v>8.5</v>
      </c>
      <c r="H19" s="44">
        <f t="shared" si="1"/>
        <v>8.5</v>
      </c>
      <c r="I19" s="44">
        <f t="shared" si="1"/>
        <v>8.5</v>
      </c>
      <c r="J19" s="44">
        <f t="shared" si="1"/>
        <v>8.5</v>
      </c>
      <c r="K19" s="44">
        <f t="shared" si="1"/>
        <v>11</v>
      </c>
      <c r="L19" s="44">
        <f t="shared" si="1"/>
        <v>11</v>
      </c>
      <c r="M19" s="44">
        <f t="shared" si="1"/>
        <v>11</v>
      </c>
      <c r="N19" s="44">
        <f t="shared" si="1"/>
        <v>11</v>
      </c>
      <c r="O19" s="44">
        <f t="shared" si="1"/>
        <v>11</v>
      </c>
      <c r="P19" s="44">
        <f t="shared" si="1"/>
        <v>14.5</v>
      </c>
      <c r="Q19" s="44">
        <f t="shared" si="1"/>
        <v>14.5</v>
      </c>
      <c r="R19" s="44">
        <f t="shared" si="1"/>
        <v>14.5</v>
      </c>
      <c r="S19" s="44">
        <f t="shared" si="1"/>
        <v>14.5</v>
      </c>
      <c r="T19" s="44">
        <f t="shared" si="1"/>
        <v>14.5</v>
      </c>
      <c r="U19" s="44">
        <f t="shared" si="1"/>
        <v>14.5</v>
      </c>
      <c r="V19" s="44">
        <f t="shared" si="1"/>
        <v>14.5</v>
      </c>
    </row>
    <row r="20" spans="2:22" ht="15" customHeight="1" x14ac:dyDescent="0.35">
      <c r="B20" s="15" t="s">
        <v>338</v>
      </c>
      <c r="C20" s="32">
        <f>C19</f>
        <v>59</v>
      </c>
      <c r="D20" s="32">
        <f t="shared" ref="D20:V20" si="2">C20+D19</f>
        <v>389</v>
      </c>
      <c r="E20" s="32">
        <f t="shared" si="2"/>
        <v>595</v>
      </c>
      <c r="F20" s="32">
        <f t="shared" si="2"/>
        <v>603.5</v>
      </c>
      <c r="G20" s="32">
        <f t="shared" si="2"/>
        <v>612</v>
      </c>
      <c r="H20" s="32">
        <f t="shared" si="2"/>
        <v>620.5</v>
      </c>
      <c r="I20" s="32">
        <f t="shared" si="2"/>
        <v>629</v>
      </c>
      <c r="J20" s="32">
        <f t="shared" si="2"/>
        <v>637.5</v>
      </c>
      <c r="K20" s="32">
        <f t="shared" si="2"/>
        <v>648.5</v>
      </c>
      <c r="L20" s="32">
        <f t="shared" si="2"/>
        <v>659.5</v>
      </c>
      <c r="M20" s="32">
        <f t="shared" si="2"/>
        <v>670.5</v>
      </c>
      <c r="N20" s="32">
        <f t="shared" si="2"/>
        <v>681.5</v>
      </c>
      <c r="O20" s="32">
        <f t="shared" si="2"/>
        <v>692.5</v>
      </c>
      <c r="P20" s="32">
        <f t="shared" si="2"/>
        <v>707</v>
      </c>
      <c r="Q20" s="32">
        <f t="shared" si="2"/>
        <v>721.5</v>
      </c>
      <c r="R20" s="32">
        <f t="shared" si="2"/>
        <v>736</v>
      </c>
      <c r="S20" s="32">
        <f t="shared" si="2"/>
        <v>750.5</v>
      </c>
      <c r="T20" s="32">
        <f t="shared" si="2"/>
        <v>765</v>
      </c>
      <c r="U20" s="32">
        <f t="shared" si="2"/>
        <v>779.5</v>
      </c>
      <c r="V20" s="32">
        <f t="shared" si="2"/>
        <v>794</v>
      </c>
    </row>
  </sheetData>
  <mergeCells count="3">
    <mergeCell ref="B2:W2"/>
    <mergeCell ref="B5:W5"/>
    <mergeCell ref="B16:W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W1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2" max="2" width="36" customWidth="1"/>
    <col min="3" max="22" width="8.453125" customWidth="1"/>
  </cols>
  <sheetData>
    <row r="2" spans="2:23" ht="15" customHeight="1" x14ac:dyDescent="0.35">
      <c r="B2" s="5" t="s">
        <v>339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2:23" ht="15" customHeight="1" x14ac:dyDescent="0.35">
      <c r="B3" s="29" t="s">
        <v>340</v>
      </c>
      <c r="C3" s="30" t="s">
        <v>291</v>
      </c>
      <c r="D3" s="30" t="s">
        <v>292</v>
      </c>
      <c r="E3" s="30" t="s">
        <v>293</v>
      </c>
      <c r="F3" s="30" t="s">
        <v>294</v>
      </c>
      <c r="G3" s="30" t="s">
        <v>295</v>
      </c>
      <c r="H3" s="30" t="s">
        <v>296</v>
      </c>
      <c r="I3" s="30" t="s">
        <v>297</v>
      </c>
      <c r="J3" s="30" t="s">
        <v>298</v>
      </c>
      <c r="K3" s="30" t="s">
        <v>299</v>
      </c>
      <c r="L3" s="30" t="s">
        <v>300</v>
      </c>
      <c r="M3" s="30" t="s">
        <v>301</v>
      </c>
      <c r="N3" s="30" t="s">
        <v>302</v>
      </c>
      <c r="O3" s="30" t="s">
        <v>303</v>
      </c>
      <c r="P3" s="30" t="s">
        <v>304</v>
      </c>
      <c r="Q3" s="30" t="s">
        <v>305</v>
      </c>
      <c r="R3" s="30" t="s">
        <v>306</v>
      </c>
      <c r="S3" s="30" t="s">
        <v>307</v>
      </c>
      <c r="T3" s="30" t="s">
        <v>308</v>
      </c>
      <c r="U3" s="30" t="s">
        <v>309</v>
      </c>
      <c r="V3" s="30" t="s">
        <v>310</v>
      </c>
    </row>
    <row r="5" spans="2:23" ht="15" customHeight="1" x14ac:dyDescent="0.35">
      <c r="B5" s="15" t="s">
        <v>341</v>
      </c>
      <c r="C5" s="34">
        <v>0</v>
      </c>
      <c r="D5" s="34">
        <v>0</v>
      </c>
      <c r="E5" s="34">
        <v>0</v>
      </c>
      <c r="F5" s="34">
        <v>8.5</v>
      </c>
      <c r="G5" s="34">
        <v>10.3</v>
      </c>
      <c r="H5" s="34">
        <v>12.2</v>
      </c>
      <c r="I5" s="34">
        <v>14.1</v>
      </c>
      <c r="J5" s="34">
        <v>15.9</v>
      </c>
      <c r="K5" s="34">
        <v>17.8</v>
      </c>
      <c r="L5" s="34">
        <v>19.600000000000001</v>
      </c>
      <c r="M5" s="34">
        <v>21.5</v>
      </c>
      <c r="N5" s="34">
        <v>23.3</v>
      </c>
      <c r="O5" s="34">
        <v>25.2</v>
      </c>
      <c r="P5" s="34">
        <v>27</v>
      </c>
      <c r="Q5" s="34">
        <v>28.9</v>
      </c>
      <c r="R5" s="34">
        <v>30.7</v>
      </c>
      <c r="S5" s="34">
        <v>32.5</v>
      </c>
      <c r="T5" s="34">
        <v>34.4</v>
      </c>
      <c r="U5" s="34">
        <v>36.200000000000003</v>
      </c>
      <c r="V5" s="34">
        <v>38.1</v>
      </c>
    </row>
    <row r="6" spans="2:23" ht="15" customHeight="1" x14ac:dyDescent="0.35">
      <c r="B6" s="15" t="s">
        <v>342</v>
      </c>
      <c r="C6" s="45">
        <v>0</v>
      </c>
      <c r="D6" s="45">
        <v>0</v>
      </c>
      <c r="E6" s="45">
        <v>0</v>
      </c>
      <c r="F6" s="46">
        <v>-37</v>
      </c>
      <c r="G6" s="46">
        <v>-37.6</v>
      </c>
      <c r="H6" s="46">
        <v>-38.299999999999997</v>
      </c>
      <c r="I6" s="46">
        <v>-39</v>
      </c>
      <c r="J6" s="46">
        <v>-39.700000000000003</v>
      </c>
      <c r="K6" s="46">
        <v>-40.4</v>
      </c>
      <c r="L6" s="46">
        <v>-41.1</v>
      </c>
      <c r="M6" s="46">
        <v>-41.8</v>
      </c>
      <c r="N6" s="46">
        <v>-42.5</v>
      </c>
      <c r="O6" s="46">
        <v>-43.3</v>
      </c>
      <c r="P6" s="46">
        <v>-44</v>
      </c>
      <c r="Q6" s="46">
        <v>-44.8</v>
      </c>
      <c r="R6" s="46">
        <v>-45.6</v>
      </c>
      <c r="S6" s="46">
        <v>-46.5</v>
      </c>
      <c r="T6" s="46">
        <v>-47.3</v>
      </c>
      <c r="U6" s="46">
        <v>-48.2</v>
      </c>
      <c r="V6" s="46">
        <v>-49.1</v>
      </c>
    </row>
    <row r="7" spans="2:23" ht="15" customHeight="1" x14ac:dyDescent="0.35">
      <c r="B7" s="37" t="s">
        <v>343</v>
      </c>
      <c r="C7" s="38">
        <v>0</v>
      </c>
      <c r="D7" s="38">
        <v>0</v>
      </c>
      <c r="E7" s="38">
        <v>0</v>
      </c>
      <c r="F7" s="38">
        <v>-28.5</v>
      </c>
      <c r="G7" s="38">
        <v>-27.3</v>
      </c>
      <c r="H7" s="38">
        <v>-26.1</v>
      </c>
      <c r="I7" s="38">
        <v>-24.9</v>
      </c>
      <c r="J7" s="38">
        <v>-23.8</v>
      </c>
      <c r="K7" s="38">
        <v>-22.6</v>
      </c>
      <c r="L7" s="38">
        <v>-21.5</v>
      </c>
      <c r="M7" s="38">
        <v>-20.3</v>
      </c>
      <c r="N7" s="38">
        <v>-19.2</v>
      </c>
      <c r="O7" s="38">
        <v>-18.100000000000001</v>
      </c>
      <c r="P7" s="38">
        <v>-17</v>
      </c>
      <c r="Q7" s="38">
        <v>-15.9</v>
      </c>
      <c r="R7" s="38">
        <v>-14.9</v>
      </c>
      <c r="S7" s="38">
        <v>-14</v>
      </c>
      <c r="T7" s="38">
        <v>-12.9</v>
      </c>
      <c r="U7" s="38">
        <v>-12</v>
      </c>
      <c r="V7" s="38">
        <v>-11</v>
      </c>
    </row>
    <row r="8" spans="2:23" ht="15" customHeight="1" x14ac:dyDescent="0.35">
      <c r="B8" s="15" t="s">
        <v>344</v>
      </c>
      <c r="C8" s="39">
        <v>0</v>
      </c>
      <c r="D8" s="39">
        <v>0</v>
      </c>
      <c r="E8" s="39">
        <v>0</v>
      </c>
      <c r="F8" s="39">
        <f t="shared" ref="F8:V8" si="0">F7/F5</f>
        <v>-3.3529411764705883</v>
      </c>
      <c r="G8" s="39">
        <f t="shared" si="0"/>
        <v>-2.6504854368932036</v>
      </c>
      <c r="H8" s="39">
        <f t="shared" si="0"/>
        <v>-2.139344262295082</v>
      </c>
      <c r="I8" s="39">
        <f t="shared" si="0"/>
        <v>-1.7659574468085106</v>
      </c>
      <c r="J8" s="39">
        <f t="shared" si="0"/>
        <v>-1.4968553459119498</v>
      </c>
      <c r="K8" s="39">
        <f t="shared" si="0"/>
        <v>-1.2696629213483146</v>
      </c>
      <c r="L8" s="39">
        <f t="shared" si="0"/>
        <v>-1.096938775510204</v>
      </c>
      <c r="M8" s="39">
        <f t="shared" si="0"/>
        <v>-0.94418604651162796</v>
      </c>
      <c r="N8" s="39">
        <f t="shared" si="0"/>
        <v>-0.82403433476394849</v>
      </c>
      <c r="O8" s="39">
        <f t="shared" si="0"/>
        <v>-0.71825396825396837</v>
      </c>
      <c r="P8" s="39">
        <f t="shared" si="0"/>
        <v>-0.62962962962962965</v>
      </c>
      <c r="Q8" s="39">
        <f t="shared" si="0"/>
        <v>-0.55017301038062283</v>
      </c>
      <c r="R8" s="39">
        <f t="shared" si="0"/>
        <v>-0.48534201954397399</v>
      </c>
      <c r="S8" s="39">
        <f t="shared" si="0"/>
        <v>-0.43076923076923079</v>
      </c>
      <c r="T8" s="39">
        <f t="shared" si="0"/>
        <v>-0.375</v>
      </c>
      <c r="U8" s="39">
        <f t="shared" si="0"/>
        <v>-0.33149171270718231</v>
      </c>
      <c r="V8" s="39">
        <f t="shared" si="0"/>
        <v>-0.28871391076115482</v>
      </c>
    </row>
    <row r="9" spans="2:23" ht="15" customHeight="1" x14ac:dyDescent="0.35">
      <c r="B9" s="15" t="s">
        <v>345</v>
      </c>
      <c r="C9" s="45">
        <v>0</v>
      </c>
      <c r="D9" s="45">
        <v>0</v>
      </c>
      <c r="E9" s="45">
        <v>0</v>
      </c>
      <c r="F9" s="46">
        <v>-34</v>
      </c>
      <c r="G9" s="46">
        <v>-34</v>
      </c>
      <c r="H9" s="46">
        <v>-34</v>
      </c>
      <c r="I9" s="46">
        <v>-34</v>
      </c>
      <c r="J9" s="46">
        <v>-34</v>
      </c>
      <c r="K9" s="46">
        <v>-34</v>
      </c>
      <c r="L9" s="46">
        <v>-34</v>
      </c>
      <c r="M9" s="46">
        <v>-34</v>
      </c>
      <c r="N9" s="46">
        <v>-34</v>
      </c>
      <c r="O9" s="46">
        <v>-34</v>
      </c>
      <c r="P9" s="46">
        <v>-34</v>
      </c>
      <c r="Q9" s="46">
        <v>-34</v>
      </c>
      <c r="R9" s="46">
        <v>-34</v>
      </c>
      <c r="S9" s="46">
        <v>-34</v>
      </c>
      <c r="T9" s="46">
        <v>-34</v>
      </c>
      <c r="U9" s="46">
        <v>-34</v>
      </c>
      <c r="V9" s="46">
        <v>-34</v>
      </c>
    </row>
    <row r="10" spans="2:23" ht="15" customHeight="1" x14ac:dyDescent="0.35">
      <c r="B10" s="37" t="s">
        <v>346</v>
      </c>
      <c r="C10" s="38">
        <v>0</v>
      </c>
      <c r="D10" s="38">
        <v>0</v>
      </c>
      <c r="E10" s="38">
        <v>0</v>
      </c>
      <c r="F10" s="38">
        <v>-62.5</v>
      </c>
      <c r="G10" s="38">
        <v>-61.3</v>
      </c>
      <c r="H10" s="38">
        <v>-60.1</v>
      </c>
      <c r="I10" s="38">
        <v>-58.9</v>
      </c>
      <c r="J10" s="38">
        <v>-57.8</v>
      </c>
      <c r="K10" s="38">
        <v>-56.6</v>
      </c>
      <c r="L10" s="38">
        <v>-55.5</v>
      </c>
      <c r="M10" s="38">
        <v>-54.3</v>
      </c>
      <c r="N10" s="38">
        <v>-53.2</v>
      </c>
      <c r="O10" s="38">
        <v>-52.1</v>
      </c>
      <c r="P10" s="38">
        <v>-51</v>
      </c>
      <c r="Q10" s="38">
        <v>-49.9</v>
      </c>
      <c r="R10" s="38">
        <v>-48.9</v>
      </c>
      <c r="S10" s="38">
        <v>-48</v>
      </c>
      <c r="T10" s="38">
        <v>-46.9</v>
      </c>
      <c r="U10" s="38">
        <v>-46</v>
      </c>
      <c r="V10" s="38">
        <v>-45</v>
      </c>
    </row>
    <row r="11" spans="2:23" ht="15" customHeight="1" x14ac:dyDescent="0.35">
      <c r="B11" s="15" t="s">
        <v>347</v>
      </c>
      <c r="C11" s="45">
        <v>0</v>
      </c>
      <c r="D11" s="45">
        <v>0</v>
      </c>
      <c r="E11" s="45">
        <v>0</v>
      </c>
      <c r="F11" s="46">
        <v>-27.9</v>
      </c>
      <c r="G11" s="46">
        <v>-27.9</v>
      </c>
      <c r="H11" s="46">
        <v>-27.9</v>
      </c>
      <c r="I11" s="46">
        <v>-25.9</v>
      </c>
      <c r="J11" s="46">
        <v>-23.9</v>
      </c>
      <c r="K11" s="46">
        <v>-21.9</v>
      </c>
      <c r="L11" s="46">
        <v>-19.899999999999999</v>
      </c>
      <c r="M11" s="46">
        <v>-17.899999999999999</v>
      </c>
      <c r="N11" s="46">
        <v>-15.9</v>
      </c>
      <c r="O11" s="46">
        <v>-14</v>
      </c>
      <c r="P11" s="46">
        <v>-12</v>
      </c>
      <c r="Q11" s="46">
        <v>-10</v>
      </c>
      <c r="R11" s="46">
        <v>-8</v>
      </c>
      <c r="S11" s="46">
        <v>-6</v>
      </c>
      <c r="T11" s="46">
        <v>-4</v>
      </c>
      <c r="U11" s="46">
        <v>-2</v>
      </c>
      <c r="V11" s="45">
        <v>0</v>
      </c>
    </row>
    <row r="12" spans="2:23" ht="15" customHeight="1" x14ac:dyDescent="0.35">
      <c r="B12" s="15" t="s">
        <v>348</v>
      </c>
      <c r="C12" s="34">
        <v>0</v>
      </c>
      <c r="D12" s="34">
        <v>0</v>
      </c>
      <c r="E12" s="34">
        <v>0</v>
      </c>
      <c r="F12" s="47">
        <v>-90.4</v>
      </c>
      <c r="G12" s="47">
        <v>-89.2</v>
      </c>
      <c r="H12" s="47">
        <v>-88</v>
      </c>
      <c r="I12" s="47">
        <v>-84.8</v>
      </c>
      <c r="J12" s="47">
        <v>-81.7</v>
      </c>
      <c r="K12" s="47">
        <v>-78.5</v>
      </c>
      <c r="L12" s="47">
        <v>-75.400000000000006</v>
      </c>
      <c r="M12" s="47">
        <v>-72.2</v>
      </c>
      <c r="N12" s="47">
        <v>-69.099999999999994</v>
      </c>
      <c r="O12" s="47">
        <v>-66.099999999999994</v>
      </c>
      <c r="P12" s="47">
        <v>-63</v>
      </c>
      <c r="Q12" s="47">
        <v>-59.9</v>
      </c>
      <c r="R12" s="47">
        <v>-56.9</v>
      </c>
      <c r="S12" s="47">
        <v>-54</v>
      </c>
      <c r="T12" s="47">
        <v>-50.9</v>
      </c>
      <c r="U12" s="47">
        <v>-48</v>
      </c>
      <c r="V12" s="47">
        <v>-45</v>
      </c>
    </row>
    <row r="13" spans="2:23" ht="15" customHeight="1" x14ac:dyDescent="0.35">
      <c r="B13" s="15" t="s">
        <v>349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2:23" ht="15" customHeight="1" x14ac:dyDescent="0.35">
      <c r="B14" s="37" t="s">
        <v>350</v>
      </c>
      <c r="C14" s="38">
        <v>0</v>
      </c>
      <c r="D14" s="38">
        <v>0</v>
      </c>
      <c r="E14" s="38">
        <v>0</v>
      </c>
      <c r="F14" s="38">
        <v>-90.4</v>
      </c>
      <c r="G14" s="38">
        <v>-89.2</v>
      </c>
      <c r="H14" s="38">
        <v>-88</v>
      </c>
      <c r="I14" s="38">
        <v>-84.8</v>
      </c>
      <c r="J14" s="38">
        <v>-81.7</v>
      </c>
      <c r="K14" s="38">
        <v>-78.5</v>
      </c>
      <c r="L14" s="38">
        <v>-75.400000000000006</v>
      </c>
      <c r="M14" s="38">
        <v>-72.2</v>
      </c>
      <c r="N14" s="38">
        <v>-69.099999999999994</v>
      </c>
      <c r="O14" s="38">
        <v>-66.099999999999994</v>
      </c>
      <c r="P14" s="38">
        <v>-63</v>
      </c>
      <c r="Q14" s="38">
        <v>-59.9</v>
      </c>
      <c r="R14" s="38">
        <v>-56.9</v>
      </c>
      <c r="S14" s="38">
        <v>-54</v>
      </c>
      <c r="T14" s="38">
        <v>-50.9</v>
      </c>
      <c r="U14" s="38">
        <v>-48</v>
      </c>
      <c r="V14" s="38">
        <v>-45</v>
      </c>
    </row>
    <row r="15" spans="2:23" ht="15" customHeight="1" x14ac:dyDescent="0.35">
      <c r="B15" s="15" t="s">
        <v>351</v>
      </c>
      <c r="C15" s="39">
        <v>0</v>
      </c>
      <c r="D15" s="39">
        <v>0</v>
      </c>
      <c r="E15" s="39">
        <v>0</v>
      </c>
      <c r="F15" s="39">
        <f t="shared" ref="F15:V15" si="1">F14/F5</f>
        <v>-10.63529411764706</v>
      </c>
      <c r="G15" s="39">
        <f t="shared" si="1"/>
        <v>-8.6601941747572813</v>
      </c>
      <c r="H15" s="39">
        <f t="shared" si="1"/>
        <v>-7.2131147540983607</v>
      </c>
      <c r="I15" s="39">
        <f t="shared" si="1"/>
        <v>-6.0141843971631204</v>
      </c>
      <c r="J15" s="39">
        <f t="shared" si="1"/>
        <v>-5.1383647798742142</v>
      </c>
      <c r="K15" s="39">
        <f t="shared" si="1"/>
        <v>-4.4101123595505616</v>
      </c>
      <c r="L15" s="39">
        <f t="shared" si="1"/>
        <v>-3.8469387755102042</v>
      </c>
      <c r="M15" s="39">
        <f t="shared" si="1"/>
        <v>-3.3581395348837209</v>
      </c>
      <c r="N15" s="39">
        <f t="shared" si="1"/>
        <v>-2.9656652360515019</v>
      </c>
      <c r="O15" s="39">
        <f t="shared" si="1"/>
        <v>-2.623015873015873</v>
      </c>
      <c r="P15" s="39">
        <f t="shared" si="1"/>
        <v>-2.3333333333333335</v>
      </c>
      <c r="Q15" s="39">
        <f t="shared" si="1"/>
        <v>-2.0726643598615917</v>
      </c>
      <c r="R15" s="39">
        <f t="shared" si="1"/>
        <v>-1.8534201954397393</v>
      </c>
      <c r="S15" s="39">
        <f t="shared" si="1"/>
        <v>-1.6615384615384616</v>
      </c>
      <c r="T15" s="39">
        <f t="shared" si="1"/>
        <v>-1.4796511627906976</v>
      </c>
      <c r="U15" s="39">
        <f t="shared" si="1"/>
        <v>-1.3259668508287292</v>
      </c>
      <c r="V15" s="39">
        <f t="shared" si="1"/>
        <v>-1.1811023622047243</v>
      </c>
    </row>
  </sheetData>
  <mergeCells count="1">
    <mergeCell ref="B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1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2" max="2" width="34" customWidth="1"/>
    <col min="3" max="22" width="8.453125" customWidth="1"/>
  </cols>
  <sheetData>
    <row r="2" spans="2:23" ht="15" customHeight="1" x14ac:dyDescent="0.35">
      <c r="B2" s="5" t="s">
        <v>352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2:23" ht="15" customHeight="1" x14ac:dyDescent="0.35">
      <c r="B3" s="29" t="s">
        <v>353</v>
      </c>
      <c r="C3" s="30" t="s">
        <v>291</v>
      </c>
      <c r="D3" s="30" t="s">
        <v>292</v>
      </c>
      <c r="E3" s="30" t="s">
        <v>293</v>
      </c>
      <c r="F3" s="30" t="s">
        <v>294</v>
      </c>
      <c r="G3" s="30" t="s">
        <v>295</v>
      </c>
      <c r="H3" s="30" t="s">
        <v>296</v>
      </c>
      <c r="I3" s="30" t="s">
        <v>297</v>
      </c>
      <c r="J3" s="30" t="s">
        <v>298</v>
      </c>
      <c r="K3" s="30" t="s">
        <v>299</v>
      </c>
      <c r="L3" s="30" t="s">
        <v>300</v>
      </c>
      <c r="M3" s="30" t="s">
        <v>301</v>
      </c>
      <c r="N3" s="30" t="s">
        <v>302</v>
      </c>
      <c r="O3" s="30" t="s">
        <v>303</v>
      </c>
      <c r="P3" s="30" t="s">
        <v>304</v>
      </c>
      <c r="Q3" s="30" t="s">
        <v>305</v>
      </c>
      <c r="R3" s="30" t="s">
        <v>306</v>
      </c>
      <c r="S3" s="30" t="s">
        <v>307</v>
      </c>
      <c r="T3" s="30" t="s">
        <v>308</v>
      </c>
      <c r="U3" s="30" t="s">
        <v>309</v>
      </c>
      <c r="V3" s="30" t="s">
        <v>310</v>
      </c>
    </row>
    <row r="5" spans="2:23" ht="15" customHeight="1" x14ac:dyDescent="0.35">
      <c r="B5" s="15" t="s">
        <v>354</v>
      </c>
      <c r="C5" s="32">
        <v>85</v>
      </c>
      <c r="D5" s="32">
        <v>388.88</v>
      </c>
      <c r="E5" s="32">
        <v>552.5</v>
      </c>
      <c r="F5" s="32">
        <v>552.5</v>
      </c>
      <c r="G5" s="32">
        <v>552.5</v>
      </c>
      <c r="H5" s="32">
        <v>513.04</v>
      </c>
      <c r="I5" s="32">
        <v>473.58</v>
      </c>
      <c r="J5" s="32">
        <v>434.12</v>
      </c>
      <c r="K5" s="32">
        <v>394.66</v>
      </c>
      <c r="L5" s="32">
        <v>355.2</v>
      </c>
      <c r="M5" s="32">
        <v>315.74</v>
      </c>
      <c r="N5" s="32">
        <v>276.27999999999997</v>
      </c>
      <c r="O5" s="32">
        <v>236.82</v>
      </c>
      <c r="P5" s="32">
        <v>197.36</v>
      </c>
      <c r="Q5" s="32">
        <v>157.9</v>
      </c>
      <c r="R5" s="32">
        <v>118.44</v>
      </c>
      <c r="S5" s="32">
        <v>78.98</v>
      </c>
      <c r="T5" s="32">
        <v>39.520000000000003</v>
      </c>
      <c r="U5" s="32">
        <v>0.06</v>
      </c>
      <c r="V5" s="32">
        <v>0.06</v>
      </c>
    </row>
    <row r="6" spans="2:23" ht="15" customHeight="1" x14ac:dyDescent="0.35">
      <c r="B6" s="15" t="s">
        <v>355</v>
      </c>
      <c r="C6" s="41">
        <v>85</v>
      </c>
      <c r="D6" s="41">
        <v>303.875</v>
      </c>
      <c r="E6" s="41">
        <v>163.625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</row>
    <row r="7" spans="2:23" ht="15" customHeight="1" x14ac:dyDescent="0.35">
      <c r="B7" s="15" t="s">
        <v>356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-39.46</v>
      </c>
      <c r="I7" s="32">
        <v>-39.46</v>
      </c>
      <c r="J7" s="32">
        <v>-39.46</v>
      </c>
      <c r="K7" s="32">
        <v>-39.46</v>
      </c>
      <c r="L7" s="32">
        <v>-39.46</v>
      </c>
      <c r="M7" s="32">
        <v>-39.46</v>
      </c>
      <c r="N7" s="32">
        <v>-39.46</v>
      </c>
      <c r="O7" s="32">
        <v>-39.46</v>
      </c>
      <c r="P7" s="32">
        <v>-39.46</v>
      </c>
      <c r="Q7" s="32">
        <v>-39.46</v>
      </c>
      <c r="R7" s="32">
        <v>-39.46</v>
      </c>
      <c r="S7" s="32">
        <v>-39.46</v>
      </c>
      <c r="T7" s="32">
        <v>-39.46</v>
      </c>
      <c r="U7" s="32">
        <v>-39.46</v>
      </c>
      <c r="V7" s="32">
        <v>0</v>
      </c>
    </row>
    <row r="8" spans="2:23" ht="15" customHeight="1" x14ac:dyDescent="0.35">
      <c r="B8" s="15" t="s">
        <v>357</v>
      </c>
      <c r="C8" s="32">
        <v>85</v>
      </c>
      <c r="D8" s="32">
        <v>388.88</v>
      </c>
      <c r="E8" s="32">
        <v>552.5</v>
      </c>
      <c r="F8" s="32">
        <v>552.5</v>
      </c>
      <c r="G8" s="32">
        <v>552.5</v>
      </c>
      <c r="H8" s="32">
        <v>513.04</v>
      </c>
      <c r="I8" s="32">
        <v>473.58</v>
      </c>
      <c r="J8" s="32">
        <v>434.12</v>
      </c>
      <c r="K8" s="32">
        <v>394.66</v>
      </c>
      <c r="L8" s="32">
        <v>355.2</v>
      </c>
      <c r="M8" s="32">
        <v>315.74</v>
      </c>
      <c r="N8" s="32">
        <v>276.27999999999997</v>
      </c>
      <c r="O8" s="32">
        <v>236.82</v>
      </c>
      <c r="P8" s="32">
        <v>197.36</v>
      </c>
      <c r="Q8" s="32">
        <v>157.9</v>
      </c>
      <c r="R8" s="32">
        <v>118.44</v>
      </c>
      <c r="S8" s="32">
        <v>78.98</v>
      </c>
      <c r="T8" s="32">
        <v>39.520000000000003</v>
      </c>
      <c r="U8" s="32">
        <v>0.06</v>
      </c>
      <c r="V8" s="32">
        <v>0.06</v>
      </c>
    </row>
    <row r="9" spans="2:23" ht="15" customHeight="1" x14ac:dyDescent="0.35">
      <c r="B9" s="15" t="s">
        <v>358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</row>
    <row r="10" spans="2:23" ht="15" customHeight="1" x14ac:dyDescent="0.35">
      <c r="B10" s="15" t="s">
        <v>359</v>
      </c>
      <c r="C10" s="32">
        <v>0</v>
      </c>
      <c r="D10" s="32">
        <v>4.29</v>
      </c>
      <c r="E10" s="32">
        <v>19.64</v>
      </c>
      <c r="F10" s="32">
        <v>27.9</v>
      </c>
      <c r="G10" s="32">
        <v>27.9</v>
      </c>
      <c r="H10" s="32">
        <v>27.9</v>
      </c>
      <c r="I10" s="32">
        <v>25.91</v>
      </c>
      <c r="J10" s="32">
        <v>23.92</v>
      </c>
      <c r="K10" s="32">
        <v>21.92</v>
      </c>
      <c r="L10" s="32">
        <v>19.93</v>
      </c>
      <c r="M10" s="32">
        <v>17.940000000000001</v>
      </c>
      <c r="N10" s="32">
        <v>15.94</v>
      </c>
      <c r="O10" s="32">
        <v>13.95</v>
      </c>
      <c r="P10" s="32">
        <v>11.96</v>
      </c>
      <c r="Q10" s="32">
        <v>9.9700000000000006</v>
      </c>
      <c r="R10" s="32">
        <v>7.97</v>
      </c>
      <c r="S10" s="32">
        <v>5.98</v>
      </c>
      <c r="T10" s="32">
        <v>3.99</v>
      </c>
      <c r="U10" s="32">
        <v>2</v>
      </c>
      <c r="V10" s="32">
        <v>0</v>
      </c>
    </row>
    <row r="11" spans="2:23" ht="15" customHeight="1" x14ac:dyDescent="0.35">
      <c r="B11" s="15" t="s">
        <v>360</v>
      </c>
      <c r="C11" s="32">
        <v>-1.87</v>
      </c>
      <c r="D11" s="32">
        <v>-0.65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</row>
    <row r="12" spans="2:23" ht="15" customHeight="1" x14ac:dyDescent="0.35">
      <c r="B12" s="43" t="s">
        <v>361</v>
      </c>
      <c r="C12" s="44">
        <f t="shared" ref="C12:V12" si="0">ABS(C10)+ABS(C11)+ABS(C7)</f>
        <v>1.87</v>
      </c>
      <c r="D12" s="44">
        <f t="shared" si="0"/>
        <v>4.9400000000000004</v>
      </c>
      <c r="E12" s="44">
        <f t="shared" si="0"/>
        <v>19.64</v>
      </c>
      <c r="F12" s="44">
        <f t="shared" si="0"/>
        <v>27.9</v>
      </c>
      <c r="G12" s="44">
        <f t="shared" si="0"/>
        <v>27.9</v>
      </c>
      <c r="H12" s="44">
        <f t="shared" si="0"/>
        <v>67.36</v>
      </c>
      <c r="I12" s="44">
        <f t="shared" si="0"/>
        <v>65.37</v>
      </c>
      <c r="J12" s="44">
        <f t="shared" si="0"/>
        <v>63.38</v>
      </c>
      <c r="K12" s="44">
        <f t="shared" si="0"/>
        <v>61.38</v>
      </c>
      <c r="L12" s="44">
        <f t="shared" si="0"/>
        <v>59.39</v>
      </c>
      <c r="M12" s="44">
        <f t="shared" si="0"/>
        <v>57.400000000000006</v>
      </c>
      <c r="N12" s="44">
        <f t="shared" si="0"/>
        <v>55.4</v>
      </c>
      <c r="O12" s="44">
        <f t="shared" si="0"/>
        <v>53.41</v>
      </c>
      <c r="P12" s="44">
        <f t="shared" si="0"/>
        <v>51.42</v>
      </c>
      <c r="Q12" s="44">
        <f t="shared" si="0"/>
        <v>49.43</v>
      </c>
      <c r="R12" s="44">
        <f t="shared" si="0"/>
        <v>47.43</v>
      </c>
      <c r="S12" s="44">
        <f t="shared" si="0"/>
        <v>45.44</v>
      </c>
      <c r="T12" s="44">
        <f t="shared" si="0"/>
        <v>43.45</v>
      </c>
      <c r="U12" s="44">
        <f t="shared" si="0"/>
        <v>41.46</v>
      </c>
      <c r="V12" s="44">
        <f t="shared" si="0"/>
        <v>0</v>
      </c>
    </row>
    <row r="13" spans="2:23" ht="15" customHeight="1" x14ac:dyDescent="0.35">
      <c r="B13" s="15" t="s">
        <v>358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2:23" ht="15" customHeight="1" x14ac:dyDescent="0.35">
      <c r="B14" s="15" t="s">
        <v>362</v>
      </c>
      <c r="C14" s="49">
        <f>PnL!C7</f>
        <v>0</v>
      </c>
      <c r="D14" s="49">
        <f>PnL!D7</f>
        <v>0</v>
      </c>
      <c r="E14" s="49">
        <f>PnL!E7</f>
        <v>0</v>
      </c>
      <c r="F14" s="49">
        <f>PnL!F7</f>
        <v>-28.5</v>
      </c>
      <c r="G14" s="49">
        <f>PnL!G7</f>
        <v>-27.3</v>
      </c>
      <c r="H14" s="49">
        <f>PnL!H7</f>
        <v>-26.1</v>
      </c>
      <c r="I14" s="49">
        <f>PnL!I7</f>
        <v>-24.9</v>
      </c>
      <c r="J14" s="49">
        <f>PnL!J7</f>
        <v>-23.8</v>
      </c>
      <c r="K14" s="49">
        <f>PnL!K7</f>
        <v>-22.6</v>
      </c>
      <c r="L14" s="49">
        <f>PnL!L7</f>
        <v>-21.5</v>
      </c>
      <c r="M14" s="49">
        <f>PnL!M7</f>
        <v>-20.3</v>
      </c>
      <c r="N14" s="49">
        <f>PnL!N7</f>
        <v>-19.2</v>
      </c>
      <c r="O14" s="49">
        <f>PnL!O7</f>
        <v>-18.100000000000001</v>
      </c>
      <c r="P14" s="49">
        <f>PnL!P7</f>
        <v>-17</v>
      </c>
      <c r="Q14" s="49">
        <f>PnL!Q7</f>
        <v>-15.9</v>
      </c>
      <c r="R14" s="49">
        <f>PnL!R7</f>
        <v>-14.9</v>
      </c>
      <c r="S14" s="49">
        <f>PnL!S7</f>
        <v>-14</v>
      </c>
      <c r="T14" s="49">
        <f>PnL!T7</f>
        <v>-12.9</v>
      </c>
      <c r="U14" s="49">
        <f>PnL!U7</f>
        <v>-12</v>
      </c>
      <c r="V14" s="49">
        <f>PnL!V7</f>
        <v>-11</v>
      </c>
    </row>
    <row r="15" spans="2:23" ht="15" customHeight="1" x14ac:dyDescent="0.35">
      <c r="B15" s="37" t="s">
        <v>363</v>
      </c>
      <c r="C15" s="50">
        <v>0</v>
      </c>
      <c r="D15" s="50">
        <v>0</v>
      </c>
      <c r="E15" s="50">
        <v>0</v>
      </c>
      <c r="F15" s="50">
        <v>-1.02</v>
      </c>
      <c r="G15" s="50">
        <v>-0.98</v>
      </c>
      <c r="H15" s="50">
        <v>-0.39</v>
      </c>
      <c r="I15" s="50">
        <v>-0.38</v>
      </c>
      <c r="J15" s="50">
        <v>-0.38</v>
      </c>
      <c r="K15" s="50">
        <v>-0.37</v>
      </c>
      <c r="L15" s="50">
        <v>-0.36</v>
      </c>
      <c r="M15" s="50">
        <v>-0.35</v>
      </c>
      <c r="N15" s="50">
        <v>-0.35</v>
      </c>
      <c r="O15" s="50">
        <v>-0.34</v>
      </c>
      <c r="P15" s="50">
        <v>-0.33</v>
      </c>
      <c r="Q15" s="50">
        <v>-0.32</v>
      </c>
      <c r="R15" s="50">
        <v>-0.31</v>
      </c>
      <c r="S15" s="50">
        <v>-0.31</v>
      </c>
      <c r="T15" s="50">
        <v>-0.3</v>
      </c>
      <c r="U15" s="50">
        <v>-0.28999999999999998</v>
      </c>
      <c r="V15" s="50">
        <v>-0.28000000000000003</v>
      </c>
    </row>
    <row r="16" spans="2:23" ht="15" customHeight="1" x14ac:dyDescent="0.35">
      <c r="B16" s="15" t="s">
        <v>364</v>
      </c>
      <c r="C16" s="51">
        <v>1.25</v>
      </c>
      <c r="D16" s="51">
        <v>1.25</v>
      </c>
      <c r="E16" s="51">
        <v>1.25</v>
      </c>
      <c r="F16" s="51">
        <v>1.25</v>
      </c>
      <c r="G16" s="51">
        <v>1.25</v>
      </c>
      <c r="H16" s="51">
        <v>1.25</v>
      </c>
      <c r="I16" s="51">
        <v>1.25</v>
      </c>
      <c r="J16" s="51">
        <v>1.25</v>
      </c>
      <c r="K16" s="51">
        <v>1.25</v>
      </c>
      <c r="L16" s="51">
        <v>1.25</v>
      </c>
      <c r="M16" s="51">
        <v>1.25</v>
      </c>
      <c r="N16" s="51">
        <v>1.25</v>
      </c>
      <c r="O16" s="51">
        <v>1.25</v>
      </c>
      <c r="P16" s="51">
        <v>1.25</v>
      </c>
      <c r="Q16" s="51">
        <v>1.25</v>
      </c>
      <c r="R16" s="51">
        <v>1.25</v>
      </c>
      <c r="S16" s="51">
        <v>1.25</v>
      </c>
      <c r="T16" s="51">
        <v>1.25</v>
      </c>
      <c r="U16" s="51">
        <v>1.25</v>
      </c>
      <c r="V16" s="51">
        <v>1.25</v>
      </c>
    </row>
    <row r="17" spans="2:22" ht="15" customHeight="1" x14ac:dyDescent="0.35">
      <c r="B17" s="15" t="s">
        <v>365</v>
      </c>
      <c r="C17" s="32">
        <f t="shared" ref="C17:V17" si="1">C15-C16</f>
        <v>-1.25</v>
      </c>
      <c r="D17" s="32">
        <f t="shared" si="1"/>
        <v>-1.25</v>
      </c>
      <c r="E17" s="32">
        <f t="shared" si="1"/>
        <v>-1.25</v>
      </c>
      <c r="F17" s="32">
        <f t="shared" si="1"/>
        <v>-2.27</v>
      </c>
      <c r="G17" s="32">
        <f t="shared" si="1"/>
        <v>-2.23</v>
      </c>
      <c r="H17" s="32">
        <f t="shared" si="1"/>
        <v>-1.6400000000000001</v>
      </c>
      <c r="I17" s="32">
        <f t="shared" si="1"/>
        <v>-1.63</v>
      </c>
      <c r="J17" s="32">
        <f t="shared" si="1"/>
        <v>-1.63</v>
      </c>
      <c r="K17" s="32">
        <f t="shared" si="1"/>
        <v>-1.62</v>
      </c>
      <c r="L17" s="32">
        <f t="shared" si="1"/>
        <v>-1.6099999999999999</v>
      </c>
      <c r="M17" s="32">
        <f t="shared" si="1"/>
        <v>-1.6</v>
      </c>
      <c r="N17" s="32">
        <f t="shared" si="1"/>
        <v>-1.6</v>
      </c>
      <c r="O17" s="32">
        <f t="shared" si="1"/>
        <v>-1.59</v>
      </c>
      <c r="P17" s="32">
        <f t="shared" si="1"/>
        <v>-1.58</v>
      </c>
      <c r="Q17" s="32">
        <f t="shared" si="1"/>
        <v>-1.57</v>
      </c>
      <c r="R17" s="32">
        <f t="shared" si="1"/>
        <v>-1.56</v>
      </c>
      <c r="S17" s="32">
        <f t="shared" si="1"/>
        <v>-1.56</v>
      </c>
      <c r="T17" s="32">
        <f t="shared" si="1"/>
        <v>-1.55</v>
      </c>
      <c r="U17" s="32">
        <f t="shared" si="1"/>
        <v>-1.54</v>
      </c>
      <c r="V17" s="32">
        <f t="shared" si="1"/>
        <v>-1.53</v>
      </c>
    </row>
    <row r="18" spans="2:22" ht="15" customHeight="1" x14ac:dyDescent="0.35">
      <c r="B18" s="15" t="s">
        <v>366</v>
      </c>
      <c r="C18" s="32">
        <v>0</v>
      </c>
      <c r="D18" s="32">
        <v>0</v>
      </c>
      <c r="E18" s="32">
        <v>0</v>
      </c>
      <c r="F18" s="32">
        <v>13.95</v>
      </c>
      <c r="G18" s="32">
        <v>13.95</v>
      </c>
      <c r="H18" s="32">
        <v>33.700000000000003</v>
      </c>
      <c r="I18" s="32">
        <v>32.700000000000003</v>
      </c>
      <c r="J18" s="32">
        <v>31.7</v>
      </c>
      <c r="K18" s="32">
        <v>30.7</v>
      </c>
      <c r="L18" s="32">
        <v>29.7</v>
      </c>
      <c r="M18" s="32">
        <v>28.7</v>
      </c>
      <c r="N18" s="32">
        <v>27.7</v>
      </c>
      <c r="O18" s="32">
        <v>26.7</v>
      </c>
      <c r="P18" s="32">
        <v>25.7</v>
      </c>
      <c r="Q18" s="32">
        <v>24.7</v>
      </c>
      <c r="R18" s="32">
        <v>23.7</v>
      </c>
      <c r="S18" s="32">
        <v>22.7</v>
      </c>
      <c r="T18" s="32">
        <v>21.75</v>
      </c>
      <c r="U18" s="32">
        <v>20.75</v>
      </c>
      <c r="V18" s="32">
        <v>19.75</v>
      </c>
    </row>
  </sheetData>
  <mergeCells count="1">
    <mergeCell ref="B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W1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2" max="2" width="34" customWidth="1"/>
    <col min="3" max="22" width="8.453125" customWidth="1"/>
  </cols>
  <sheetData>
    <row r="2" spans="2:23" ht="15" customHeight="1" x14ac:dyDescent="0.35">
      <c r="B2" s="5" t="s">
        <v>367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2:23" ht="15" customHeight="1" x14ac:dyDescent="0.35">
      <c r="B3" s="29" t="s">
        <v>368</v>
      </c>
      <c r="C3" s="30" t="s">
        <v>291</v>
      </c>
      <c r="D3" s="30" t="s">
        <v>292</v>
      </c>
      <c r="E3" s="30" t="s">
        <v>293</v>
      </c>
      <c r="F3" s="30" t="s">
        <v>294</v>
      </c>
      <c r="G3" s="30" t="s">
        <v>295</v>
      </c>
      <c r="H3" s="30" t="s">
        <v>296</v>
      </c>
      <c r="I3" s="30" t="s">
        <v>297</v>
      </c>
      <c r="J3" s="30" t="s">
        <v>298</v>
      </c>
      <c r="K3" s="30" t="s">
        <v>299</v>
      </c>
      <c r="L3" s="30" t="s">
        <v>300</v>
      </c>
      <c r="M3" s="30" t="s">
        <v>301</v>
      </c>
      <c r="N3" s="30" t="s">
        <v>302</v>
      </c>
      <c r="O3" s="30" t="s">
        <v>303</v>
      </c>
      <c r="P3" s="30" t="s">
        <v>304</v>
      </c>
      <c r="Q3" s="30" t="s">
        <v>305</v>
      </c>
      <c r="R3" s="30" t="s">
        <v>306</v>
      </c>
      <c r="S3" s="30" t="s">
        <v>307</v>
      </c>
      <c r="T3" s="30" t="s">
        <v>308</v>
      </c>
      <c r="U3" s="30" t="s">
        <v>309</v>
      </c>
      <c r="V3" s="30" t="s">
        <v>310</v>
      </c>
    </row>
    <row r="5" spans="2:23" ht="15" customHeight="1" x14ac:dyDescent="0.35">
      <c r="B5" s="15" t="s">
        <v>362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</row>
    <row r="6" spans="2:23" ht="15" customHeight="1" x14ac:dyDescent="0.35">
      <c r="B6" s="15" t="s">
        <v>369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</row>
    <row r="7" spans="2:23" ht="15" customHeight="1" x14ac:dyDescent="0.35">
      <c r="B7" s="15" t="s">
        <v>370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2:23" ht="15" customHeight="1" x14ac:dyDescent="0.35">
      <c r="B8" s="15" t="s">
        <v>371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</row>
    <row r="9" spans="2:23" ht="15" customHeight="1" x14ac:dyDescent="0.35">
      <c r="B9" s="54" t="s">
        <v>372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</row>
    <row r="10" spans="2:23" ht="15" customHeight="1" x14ac:dyDescent="0.35">
      <c r="B10" s="1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2:23" ht="15" customHeight="1" x14ac:dyDescent="0.35">
      <c r="B11" s="15" t="s">
        <v>355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</row>
    <row r="12" spans="2:23" ht="15" customHeight="1" x14ac:dyDescent="0.35">
      <c r="B12" s="15" t="s">
        <v>373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 spans="2:23" ht="15" customHeight="1" x14ac:dyDescent="0.35">
      <c r="B13" s="15" t="s">
        <v>374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 spans="2:23" ht="15" customHeight="1" x14ac:dyDescent="0.35">
      <c r="B14" s="54" t="s">
        <v>375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</row>
    <row r="15" spans="2:23" ht="15" customHeight="1" x14ac:dyDescent="0.35">
      <c r="B15" s="1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2:23" ht="15" customHeight="1" x14ac:dyDescent="0.35">
      <c r="B16" s="15" t="s">
        <v>376</v>
      </c>
      <c r="C16" s="34">
        <v>-85</v>
      </c>
      <c r="D16" s="34">
        <f t="shared" ref="D16:V16" si="0">C16+D9</f>
        <v>-85</v>
      </c>
      <c r="E16" s="34">
        <f t="shared" si="0"/>
        <v>-85</v>
      </c>
      <c r="F16" s="34">
        <f t="shared" si="0"/>
        <v>-85</v>
      </c>
      <c r="G16" s="34">
        <f t="shared" si="0"/>
        <v>-85</v>
      </c>
      <c r="H16" s="34">
        <f t="shared" si="0"/>
        <v>-85</v>
      </c>
      <c r="I16" s="34">
        <f t="shared" si="0"/>
        <v>-85</v>
      </c>
      <c r="J16" s="34">
        <f t="shared" si="0"/>
        <v>-85</v>
      </c>
      <c r="K16" s="34">
        <f t="shared" si="0"/>
        <v>-85</v>
      </c>
      <c r="L16" s="34">
        <f t="shared" si="0"/>
        <v>-85</v>
      </c>
      <c r="M16" s="34">
        <f t="shared" si="0"/>
        <v>-85</v>
      </c>
      <c r="N16" s="34">
        <f t="shared" si="0"/>
        <v>-85</v>
      </c>
      <c r="O16" s="34">
        <f t="shared" si="0"/>
        <v>-85</v>
      </c>
      <c r="P16" s="34">
        <f t="shared" si="0"/>
        <v>-85</v>
      </c>
      <c r="Q16" s="34">
        <f t="shared" si="0"/>
        <v>-85</v>
      </c>
      <c r="R16" s="34">
        <f t="shared" si="0"/>
        <v>-85</v>
      </c>
      <c r="S16" s="34">
        <f t="shared" si="0"/>
        <v>-85</v>
      </c>
      <c r="T16" s="34">
        <f t="shared" si="0"/>
        <v>-85</v>
      </c>
      <c r="U16" s="34">
        <f t="shared" si="0"/>
        <v>-85</v>
      </c>
      <c r="V16" s="34">
        <f t="shared" si="0"/>
        <v>-85</v>
      </c>
    </row>
    <row r="17" spans="2:22" ht="15" customHeight="1" x14ac:dyDescent="0.35">
      <c r="B17" s="15" t="s">
        <v>377</v>
      </c>
      <c r="C17" s="56">
        <v>1</v>
      </c>
      <c r="D17" s="56">
        <v>0.92166000000000003</v>
      </c>
      <c r="E17" s="56">
        <v>0.84945999999999999</v>
      </c>
      <c r="F17" s="56">
        <v>0.78290999999999999</v>
      </c>
      <c r="G17" s="56">
        <v>0.72157000000000004</v>
      </c>
      <c r="H17" s="56">
        <v>0.66505000000000003</v>
      </c>
      <c r="I17" s="56">
        <v>0.61294999999999999</v>
      </c>
      <c r="J17" s="56">
        <v>0.56493000000000004</v>
      </c>
      <c r="K17" s="56">
        <v>0.52066999999999997</v>
      </c>
      <c r="L17" s="56">
        <v>0.47987999999999997</v>
      </c>
      <c r="M17" s="56">
        <v>0.44229000000000002</v>
      </c>
      <c r="N17" s="56">
        <v>0.40764</v>
      </c>
      <c r="O17" s="56">
        <v>0.37569999999999998</v>
      </c>
      <c r="P17" s="56">
        <v>0.34627000000000002</v>
      </c>
      <c r="Q17" s="56">
        <v>0.31913999999999998</v>
      </c>
      <c r="R17" s="56">
        <v>0.29414000000000001</v>
      </c>
      <c r="S17" s="56">
        <v>0.27110000000000001</v>
      </c>
      <c r="T17" s="56">
        <v>0.24986</v>
      </c>
      <c r="U17" s="56">
        <v>0.23028000000000001</v>
      </c>
      <c r="V17" s="56">
        <v>0.21224000000000001</v>
      </c>
    </row>
    <row r="18" spans="2:22" ht="15" customHeight="1" x14ac:dyDescent="0.35">
      <c r="B18" s="15" t="s">
        <v>378</v>
      </c>
      <c r="C18" s="34">
        <f t="shared" ref="C18:V18" si="1">C9*C17</f>
        <v>0</v>
      </c>
      <c r="D18" s="34">
        <f t="shared" si="1"/>
        <v>0</v>
      </c>
      <c r="E18" s="34">
        <f t="shared" si="1"/>
        <v>0</v>
      </c>
      <c r="F18" s="34">
        <f t="shared" si="1"/>
        <v>0</v>
      </c>
      <c r="G18" s="34">
        <f t="shared" si="1"/>
        <v>0</v>
      </c>
      <c r="H18" s="34">
        <f t="shared" si="1"/>
        <v>0</v>
      </c>
      <c r="I18" s="34">
        <f t="shared" si="1"/>
        <v>0</v>
      </c>
      <c r="J18" s="34">
        <f t="shared" si="1"/>
        <v>0</v>
      </c>
      <c r="K18" s="34">
        <f t="shared" si="1"/>
        <v>0</v>
      </c>
      <c r="L18" s="34">
        <f t="shared" si="1"/>
        <v>0</v>
      </c>
      <c r="M18" s="34">
        <f t="shared" si="1"/>
        <v>0</v>
      </c>
      <c r="N18" s="34">
        <f t="shared" si="1"/>
        <v>0</v>
      </c>
      <c r="O18" s="34">
        <f t="shared" si="1"/>
        <v>0</v>
      </c>
      <c r="P18" s="34">
        <f t="shared" si="1"/>
        <v>0</v>
      </c>
      <c r="Q18" s="34">
        <f t="shared" si="1"/>
        <v>0</v>
      </c>
      <c r="R18" s="34">
        <f t="shared" si="1"/>
        <v>0</v>
      </c>
      <c r="S18" s="34">
        <f t="shared" si="1"/>
        <v>0</v>
      </c>
      <c r="T18" s="34">
        <f t="shared" si="1"/>
        <v>0</v>
      </c>
      <c r="U18" s="34">
        <f t="shared" si="1"/>
        <v>0</v>
      </c>
      <c r="V18" s="34">
        <f t="shared" si="1"/>
        <v>0</v>
      </c>
    </row>
  </sheetData>
  <mergeCells count="1">
    <mergeCell ref="B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28"/>
  <sheetViews>
    <sheetView showGridLines="0" topLeftCell="A14" zoomScaleNormal="100" workbookViewId="0">
      <selection activeCell="B34" sqref="B33:B34"/>
    </sheetView>
  </sheetViews>
  <sheetFormatPr defaultColWidth="8.6328125" defaultRowHeight="14.5" x14ac:dyDescent="0.35"/>
  <cols>
    <col min="1" max="1" width="3" customWidth="1"/>
    <col min="2" max="2" width="38" customWidth="1"/>
    <col min="3" max="3" width="3" customWidth="1"/>
    <col min="4" max="6" width="14" customWidth="1"/>
    <col min="7" max="7" width="16" customWidth="1"/>
    <col min="8" max="8" width="12" customWidth="1"/>
  </cols>
  <sheetData>
    <row r="2" spans="2:9" ht="16.5" customHeight="1" x14ac:dyDescent="0.35">
      <c r="B2" s="3" t="s">
        <v>379</v>
      </c>
      <c r="C2" s="3"/>
      <c r="D2" s="3"/>
      <c r="E2" s="3"/>
      <c r="F2" s="3"/>
      <c r="G2" s="3"/>
      <c r="H2" s="3"/>
      <c r="I2" s="3"/>
    </row>
    <row r="3" spans="2:9" ht="15" customHeight="1" x14ac:dyDescent="0.35">
      <c r="B3" s="29" t="s">
        <v>380</v>
      </c>
      <c r="D3" s="29" t="s">
        <v>381</v>
      </c>
      <c r="E3" s="29" t="s">
        <v>382</v>
      </c>
      <c r="F3" s="29" t="s">
        <v>383</v>
      </c>
      <c r="G3" s="29" t="s">
        <v>384</v>
      </c>
      <c r="H3" s="29" t="s">
        <v>385</v>
      </c>
    </row>
    <row r="4" spans="2:9" ht="15" customHeight="1" x14ac:dyDescent="0.35">
      <c r="B4" s="4" t="s">
        <v>386</v>
      </c>
      <c r="C4" s="4"/>
      <c r="D4" s="4"/>
      <c r="E4" s="4"/>
      <c r="F4" s="4"/>
      <c r="G4" s="4"/>
      <c r="H4" s="4"/>
      <c r="I4" s="4"/>
    </row>
    <row r="5" spans="2:9" ht="15" customHeight="1" x14ac:dyDescent="0.35">
      <c r="B5" s="15" t="s">
        <v>387</v>
      </c>
      <c r="D5" s="57">
        <v>0.123</v>
      </c>
      <c r="E5" s="58">
        <v>9.4E-2</v>
      </c>
      <c r="F5" s="58">
        <v>0.14799999999999999</v>
      </c>
      <c r="G5" s="58">
        <v>8.5000000000000006E-2</v>
      </c>
      <c r="H5" s="59" t="s">
        <v>388</v>
      </c>
    </row>
    <row r="6" spans="2:9" ht="15" customHeight="1" x14ac:dyDescent="0.35">
      <c r="B6" s="15" t="s">
        <v>389</v>
      </c>
      <c r="D6" s="57">
        <v>0.158</v>
      </c>
      <c r="E6" s="58">
        <v>0.108</v>
      </c>
      <c r="F6" s="58">
        <v>0.193</v>
      </c>
      <c r="G6" s="58">
        <v>0.1</v>
      </c>
      <c r="H6" s="59" t="s">
        <v>388</v>
      </c>
    </row>
    <row r="7" spans="2:9" ht="15" customHeight="1" x14ac:dyDescent="0.35">
      <c r="B7" s="15" t="s">
        <v>390</v>
      </c>
      <c r="D7" s="60">
        <v>145</v>
      </c>
      <c r="E7" s="61">
        <v>-12</v>
      </c>
      <c r="F7" s="62">
        <v>218</v>
      </c>
      <c r="G7" s="62">
        <v>0</v>
      </c>
      <c r="H7" s="59" t="s">
        <v>388</v>
      </c>
    </row>
    <row r="8" spans="2:9" ht="15" customHeight="1" x14ac:dyDescent="0.35">
      <c r="B8" s="15" t="s">
        <v>391</v>
      </c>
      <c r="D8" s="63">
        <v>9.1999999999999993</v>
      </c>
      <c r="E8" s="64">
        <v>12.8</v>
      </c>
      <c r="F8" s="64">
        <v>7.6</v>
      </c>
      <c r="G8" s="64">
        <v>12</v>
      </c>
      <c r="H8" s="59" t="s">
        <v>388</v>
      </c>
    </row>
    <row r="9" spans="2:9" ht="15" customHeight="1" x14ac:dyDescent="0.35">
      <c r="B9" s="15" t="s">
        <v>392</v>
      </c>
      <c r="D9" s="65">
        <v>2.4</v>
      </c>
      <c r="E9" s="66">
        <v>1.5</v>
      </c>
      <c r="F9" s="66">
        <v>3.1</v>
      </c>
      <c r="G9" s="66">
        <v>1.8</v>
      </c>
      <c r="H9" s="59" t="s">
        <v>388</v>
      </c>
    </row>
    <row r="10" spans="2:9" ht="15" customHeight="1" x14ac:dyDescent="0.35">
      <c r="B10" s="4" t="s">
        <v>393</v>
      </c>
      <c r="C10" s="4"/>
      <c r="D10" s="4"/>
      <c r="E10" s="4"/>
      <c r="F10" s="4"/>
      <c r="G10" s="4"/>
      <c r="H10" s="4"/>
      <c r="I10" s="4"/>
    </row>
    <row r="11" spans="2:9" ht="15" customHeight="1" x14ac:dyDescent="0.35">
      <c r="B11" s="15" t="s">
        <v>394</v>
      </c>
      <c r="D11" s="67">
        <v>1.45</v>
      </c>
      <c r="E11" s="68">
        <v>1.18</v>
      </c>
      <c r="F11" s="68">
        <v>1.72</v>
      </c>
      <c r="G11" s="68">
        <v>1.25</v>
      </c>
      <c r="H11" s="59" t="s">
        <v>388</v>
      </c>
    </row>
    <row r="12" spans="2:9" ht="15" customHeight="1" x14ac:dyDescent="0.35">
      <c r="B12" s="15" t="s">
        <v>395</v>
      </c>
      <c r="D12" s="67">
        <v>1.1200000000000001</v>
      </c>
      <c r="E12" s="68">
        <v>0.98</v>
      </c>
      <c r="F12" s="68">
        <v>1.35</v>
      </c>
      <c r="G12" s="68">
        <v>1.25</v>
      </c>
      <c r="H12" s="69" t="s">
        <v>396</v>
      </c>
    </row>
    <row r="13" spans="2:9" ht="15" customHeight="1" x14ac:dyDescent="0.35">
      <c r="B13" s="15" t="s">
        <v>397</v>
      </c>
      <c r="D13" s="70">
        <v>2030</v>
      </c>
      <c r="E13" s="71">
        <v>2030</v>
      </c>
      <c r="F13" s="71">
        <v>2029</v>
      </c>
      <c r="H13" s="72" t="s">
        <v>398</v>
      </c>
    </row>
    <row r="14" spans="2:9" ht="15" customHeight="1" x14ac:dyDescent="0.35">
      <c r="B14" s="15" t="s">
        <v>399</v>
      </c>
      <c r="D14" s="65">
        <v>2.8</v>
      </c>
      <c r="E14" s="66">
        <v>1.9</v>
      </c>
      <c r="F14" s="66">
        <v>3.5</v>
      </c>
      <c r="G14" s="66">
        <v>2</v>
      </c>
      <c r="H14" s="59" t="s">
        <v>388</v>
      </c>
    </row>
    <row r="15" spans="2:9" ht="15" customHeight="1" x14ac:dyDescent="0.35">
      <c r="B15" s="15" t="s">
        <v>400</v>
      </c>
      <c r="D15" s="67">
        <v>1.38</v>
      </c>
      <c r="E15" s="68">
        <v>1.08</v>
      </c>
      <c r="F15" s="68">
        <v>1.65</v>
      </c>
      <c r="G15" s="68">
        <v>1.1499999999999999</v>
      </c>
      <c r="H15" s="59" t="s">
        <v>388</v>
      </c>
    </row>
    <row r="16" spans="2:9" ht="15" customHeight="1" x14ac:dyDescent="0.35">
      <c r="B16" s="4" t="s">
        <v>401</v>
      </c>
      <c r="C16" s="4"/>
      <c r="D16" s="4"/>
      <c r="E16" s="4"/>
      <c r="F16" s="4"/>
      <c r="G16" s="4"/>
      <c r="H16" s="4"/>
      <c r="I16" s="4"/>
    </row>
    <row r="17" spans="2:9" ht="15" customHeight="1" x14ac:dyDescent="0.35">
      <c r="B17" s="15" t="s">
        <v>402</v>
      </c>
      <c r="D17" s="57">
        <v>0.112</v>
      </c>
      <c r="G17" s="58">
        <v>8.5000000000000006E-2</v>
      </c>
      <c r="H17" s="59" t="s">
        <v>388</v>
      </c>
    </row>
    <row r="18" spans="2:9" ht="15" customHeight="1" x14ac:dyDescent="0.35">
      <c r="B18" s="15" t="s">
        <v>403</v>
      </c>
      <c r="D18" s="57">
        <v>0.10100000000000001</v>
      </c>
      <c r="G18" s="58">
        <v>8.5000000000000006E-2</v>
      </c>
      <c r="H18" s="59" t="s">
        <v>388</v>
      </c>
    </row>
    <row r="19" spans="2:9" ht="15" customHeight="1" x14ac:dyDescent="0.35">
      <c r="B19" s="15" t="s">
        <v>404</v>
      </c>
      <c r="D19" s="57">
        <v>0.108</v>
      </c>
      <c r="G19" s="58">
        <v>8.5000000000000006E-2</v>
      </c>
      <c r="H19" s="59" t="s">
        <v>388</v>
      </c>
    </row>
    <row r="20" spans="2:9" ht="15" customHeight="1" x14ac:dyDescent="0.35">
      <c r="B20" s="15" t="s">
        <v>405</v>
      </c>
      <c r="D20" s="57">
        <v>8.8999999999999996E-2</v>
      </c>
      <c r="G20" s="58">
        <v>8.5000000000000006E-2</v>
      </c>
      <c r="H20" s="59" t="s">
        <v>388</v>
      </c>
    </row>
    <row r="21" spans="2:9" ht="15" customHeight="1" x14ac:dyDescent="0.35">
      <c r="B21" s="15" t="s">
        <v>406</v>
      </c>
      <c r="D21" s="73">
        <v>0.34</v>
      </c>
      <c r="H21" s="72" t="s">
        <v>398</v>
      </c>
    </row>
    <row r="22" spans="2:9" ht="15" customHeight="1" x14ac:dyDescent="0.35">
      <c r="B22" s="15" t="s">
        <v>407</v>
      </c>
      <c r="D22" s="57">
        <v>0.62</v>
      </c>
      <c r="H22" s="72" t="s">
        <v>398</v>
      </c>
    </row>
    <row r="23" spans="2:9" ht="15" customHeight="1" x14ac:dyDescent="0.35">
      <c r="B23" s="4" t="s">
        <v>408</v>
      </c>
      <c r="C23" s="4"/>
      <c r="D23" s="4"/>
      <c r="E23" s="4"/>
      <c r="F23" s="4"/>
      <c r="G23" s="4"/>
      <c r="H23" s="4"/>
      <c r="I23" s="4"/>
    </row>
    <row r="24" spans="2:9" ht="15" customHeight="1" x14ac:dyDescent="0.35">
      <c r="B24" s="15" t="s">
        <v>409</v>
      </c>
      <c r="D24" s="74" t="s">
        <v>410</v>
      </c>
      <c r="E24" s="75" t="s">
        <v>411</v>
      </c>
      <c r="F24" s="75" t="s">
        <v>410</v>
      </c>
      <c r="H24" s="59" t="s">
        <v>388</v>
      </c>
    </row>
    <row r="25" spans="2:9" ht="15" customHeight="1" x14ac:dyDescent="0.35">
      <c r="B25" s="15" t="s">
        <v>412</v>
      </c>
      <c r="D25" s="74" t="s">
        <v>410</v>
      </c>
      <c r="E25" s="75" t="s">
        <v>411</v>
      </c>
      <c r="F25" s="75" t="s">
        <v>410</v>
      </c>
      <c r="H25" s="59" t="s">
        <v>388</v>
      </c>
    </row>
    <row r="26" spans="2:9" ht="15" customHeight="1" x14ac:dyDescent="0.35">
      <c r="B26" s="15" t="s">
        <v>413</v>
      </c>
      <c r="D26" s="74" t="s">
        <v>410</v>
      </c>
      <c r="E26" s="75" t="s">
        <v>411</v>
      </c>
      <c r="F26" s="75" t="s">
        <v>410</v>
      </c>
      <c r="H26" s="59" t="s">
        <v>388</v>
      </c>
    </row>
    <row r="27" spans="2:9" ht="15" customHeight="1" x14ac:dyDescent="0.35">
      <c r="B27" s="15" t="s">
        <v>414</v>
      </c>
      <c r="D27" s="74" t="s">
        <v>410</v>
      </c>
      <c r="E27" s="75" t="s">
        <v>411</v>
      </c>
      <c r="F27" s="75" t="s">
        <v>410</v>
      </c>
      <c r="H27" s="59" t="s">
        <v>388</v>
      </c>
    </row>
    <row r="28" spans="2:9" ht="15" customHeight="1" x14ac:dyDescent="0.35">
      <c r="B28" s="15" t="s">
        <v>415</v>
      </c>
      <c r="D28" s="74" t="s">
        <v>410</v>
      </c>
      <c r="E28" s="75" t="s">
        <v>411</v>
      </c>
      <c r="F28" s="75" t="s">
        <v>410</v>
      </c>
      <c r="H28" s="59" t="s">
        <v>388</v>
      </c>
    </row>
  </sheetData>
  <mergeCells count="5">
    <mergeCell ref="B2:I2"/>
    <mergeCell ref="B4:I4"/>
    <mergeCell ref="B10:I10"/>
    <mergeCell ref="B16:I16"/>
    <mergeCell ref="B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25"/>
  <sheetViews>
    <sheetView showGridLines="0" topLeftCell="A4" zoomScaleNormal="100" workbookViewId="0">
      <selection activeCell="F13" sqref="F13"/>
    </sheetView>
  </sheetViews>
  <sheetFormatPr defaultColWidth="8.6328125" defaultRowHeight="14.5" x14ac:dyDescent="0.35"/>
  <cols>
    <col min="1" max="1" width="3" customWidth="1"/>
    <col min="2" max="2" width="36" customWidth="1"/>
    <col min="3" max="9" width="10" customWidth="1"/>
    <col min="10" max="10" width="22" customWidth="1"/>
  </cols>
  <sheetData>
    <row r="2" spans="2:11" ht="15" customHeight="1" x14ac:dyDescent="0.35">
      <c r="B2" s="5" t="s">
        <v>416</v>
      </c>
      <c r="C2" s="5"/>
      <c r="D2" s="5"/>
      <c r="E2" s="5"/>
      <c r="F2" s="5"/>
      <c r="G2" s="5"/>
      <c r="H2" s="5"/>
      <c r="I2" s="5"/>
      <c r="J2" s="5"/>
      <c r="K2" s="5"/>
    </row>
    <row r="4" spans="2:11" ht="15" customHeight="1" x14ac:dyDescent="0.35">
      <c r="B4" s="2" t="s">
        <v>417</v>
      </c>
      <c r="C4" s="2"/>
      <c r="D4" s="2"/>
      <c r="E4" s="2"/>
      <c r="F4" s="2"/>
      <c r="G4" s="2"/>
      <c r="H4" s="2"/>
      <c r="I4" s="2"/>
      <c r="J4" s="2"/>
      <c r="K4" s="2"/>
    </row>
    <row r="5" spans="2:11" ht="15" customHeight="1" x14ac:dyDescent="0.35">
      <c r="B5" s="77" t="s">
        <v>77</v>
      </c>
      <c r="C5" s="77" t="s">
        <v>418</v>
      </c>
      <c r="D5" s="77" t="s">
        <v>419</v>
      </c>
      <c r="E5" s="77" t="s">
        <v>381</v>
      </c>
      <c r="F5" s="77" t="s">
        <v>420</v>
      </c>
      <c r="G5" s="77" t="s">
        <v>421</v>
      </c>
      <c r="H5" s="77" t="s">
        <v>422</v>
      </c>
      <c r="I5" s="77" t="s">
        <v>423</v>
      </c>
    </row>
    <row r="6" spans="2:11" ht="15" customHeight="1" x14ac:dyDescent="0.35">
      <c r="B6" s="78" t="s">
        <v>424</v>
      </c>
      <c r="C6" s="79">
        <v>9.4E-2</v>
      </c>
      <c r="D6" s="80">
        <v>0.108</v>
      </c>
      <c r="E6" s="81">
        <v>0.123</v>
      </c>
      <c r="F6" s="82">
        <v>0.13700000000000001</v>
      </c>
      <c r="G6" s="82">
        <v>0.15</v>
      </c>
      <c r="H6" s="83" t="s">
        <v>425</v>
      </c>
      <c r="I6" s="84" t="s">
        <v>426</v>
      </c>
    </row>
    <row r="7" spans="2:11" ht="15" customHeight="1" x14ac:dyDescent="0.35">
      <c r="B7" s="15" t="s">
        <v>427</v>
      </c>
      <c r="C7" s="85">
        <v>9.8000000000000004E-2</v>
      </c>
      <c r="D7" s="86">
        <v>0.11</v>
      </c>
      <c r="E7" s="87">
        <v>0.123</v>
      </c>
      <c r="F7" s="88">
        <v>0.13500000000000001</v>
      </c>
      <c r="G7" s="88">
        <v>0.14599999999999999</v>
      </c>
      <c r="H7" s="89" t="s">
        <v>428</v>
      </c>
      <c r="I7" s="17" t="s">
        <v>429</v>
      </c>
    </row>
    <row r="8" spans="2:11" ht="15" customHeight="1" x14ac:dyDescent="0.35">
      <c r="B8" s="78" t="s">
        <v>430</v>
      </c>
      <c r="C8" s="82">
        <v>0.14799999999999999</v>
      </c>
      <c r="D8" s="82">
        <v>0.13500000000000001</v>
      </c>
      <c r="E8" s="81">
        <v>0.123</v>
      </c>
      <c r="F8" s="80">
        <v>0.111</v>
      </c>
      <c r="G8" s="79">
        <v>9.9000000000000005E-2</v>
      </c>
      <c r="H8" s="83" t="s">
        <v>431</v>
      </c>
      <c r="I8" s="84" t="s">
        <v>432</v>
      </c>
    </row>
    <row r="9" spans="2:11" ht="15" customHeight="1" x14ac:dyDescent="0.35">
      <c r="B9" s="15" t="s">
        <v>433</v>
      </c>
      <c r="C9" s="86">
        <v>0.11700000000000001</v>
      </c>
      <c r="D9" s="86">
        <v>0.12</v>
      </c>
      <c r="E9" s="87">
        <v>0.123</v>
      </c>
      <c r="F9" s="88">
        <v>0.126</v>
      </c>
      <c r="G9" s="88">
        <v>0.129</v>
      </c>
      <c r="H9" s="89" t="s">
        <v>434</v>
      </c>
      <c r="I9" s="17" t="s">
        <v>435</v>
      </c>
    </row>
    <row r="10" spans="2:11" ht="15" customHeight="1" x14ac:dyDescent="0.35">
      <c r="B10" s="78" t="s">
        <v>436</v>
      </c>
      <c r="C10" s="82">
        <v>0.13100000000000001</v>
      </c>
      <c r="D10" s="82">
        <v>0.127</v>
      </c>
      <c r="E10" s="81">
        <v>0.123</v>
      </c>
      <c r="F10" s="80">
        <v>0.11899999999999999</v>
      </c>
      <c r="G10" s="80">
        <v>0.115</v>
      </c>
      <c r="H10" s="83" t="s">
        <v>437</v>
      </c>
      <c r="I10" s="84" t="s">
        <v>438</v>
      </c>
    </row>
    <row r="11" spans="2:11" ht="15" customHeight="1" x14ac:dyDescent="0.35">
      <c r="B11" s="15" t="s">
        <v>439</v>
      </c>
      <c r="C11" s="88">
        <v>0.13600000000000001</v>
      </c>
      <c r="D11" s="88">
        <v>0.13</v>
      </c>
      <c r="E11" s="87">
        <v>0.123</v>
      </c>
      <c r="F11" s="86">
        <v>0.11600000000000001</v>
      </c>
      <c r="G11" s="86">
        <v>0.109</v>
      </c>
      <c r="H11" s="89" t="s">
        <v>440</v>
      </c>
      <c r="I11" s="17" t="s">
        <v>438</v>
      </c>
    </row>
    <row r="12" spans="2:11" ht="15" customHeight="1" x14ac:dyDescent="0.35">
      <c r="B12" s="78" t="s">
        <v>183</v>
      </c>
      <c r="C12" s="82">
        <v>0.129</v>
      </c>
      <c r="D12" s="82">
        <v>0.126</v>
      </c>
      <c r="E12" s="81">
        <v>0.123</v>
      </c>
      <c r="F12" s="80">
        <v>0.12</v>
      </c>
      <c r="G12" s="80">
        <v>0.11700000000000001</v>
      </c>
      <c r="H12" s="83" t="s">
        <v>434</v>
      </c>
      <c r="I12" s="84" t="s">
        <v>435</v>
      </c>
    </row>
    <row r="13" spans="2:11" ht="15" customHeight="1" x14ac:dyDescent="0.35">
      <c r="B13" s="15" t="s">
        <v>224</v>
      </c>
      <c r="C13" s="88">
        <v>0.126</v>
      </c>
      <c r="D13" s="88">
        <v>0.125</v>
      </c>
      <c r="E13" s="87">
        <v>0.123</v>
      </c>
      <c r="F13" s="88">
        <v>0.123</v>
      </c>
      <c r="G13" s="88">
        <v>0.124</v>
      </c>
      <c r="H13" s="89" t="s">
        <v>441</v>
      </c>
      <c r="I13" s="17" t="s">
        <v>435</v>
      </c>
    </row>
    <row r="16" spans="2:11" ht="15" customHeight="1" x14ac:dyDescent="0.35">
      <c r="B16" s="2" t="s">
        <v>442</v>
      </c>
      <c r="C16" s="2"/>
      <c r="D16" s="2"/>
      <c r="E16" s="2"/>
      <c r="F16" s="2"/>
      <c r="G16" s="2"/>
      <c r="H16" s="2"/>
      <c r="I16" s="2"/>
      <c r="J16" s="2"/>
      <c r="K16" s="2"/>
    </row>
    <row r="17" spans="2:9" ht="15" customHeight="1" x14ac:dyDescent="0.35">
      <c r="B17" s="76" t="s">
        <v>443</v>
      </c>
      <c r="C17" s="90" t="s">
        <v>444</v>
      </c>
      <c r="D17" s="90" t="s">
        <v>445</v>
      </c>
      <c r="E17" s="90" t="s">
        <v>446</v>
      </c>
      <c r="F17" s="90" t="s">
        <v>447</v>
      </c>
      <c r="G17" s="90" t="s">
        <v>448</v>
      </c>
      <c r="H17" s="90" t="s">
        <v>449</v>
      </c>
      <c r="I17" s="90" t="s">
        <v>450</v>
      </c>
    </row>
    <row r="18" spans="2:9" ht="15" customHeight="1" x14ac:dyDescent="0.35">
      <c r="B18" s="91" t="s">
        <v>451</v>
      </c>
      <c r="C18" s="92">
        <v>0.161</v>
      </c>
      <c r="D18" s="92">
        <v>0.17199999999999999</v>
      </c>
      <c r="E18" s="92">
        <v>0.182</v>
      </c>
      <c r="F18" s="92">
        <v>0.193</v>
      </c>
      <c r="G18" s="92">
        <v>0.20399999999999999</v>
      </c>
      <c r="H18" s="92">
        <v>0.214</v>
      </c>
      <c r="I18" s="92">
        <v>0.22500000000000001</v>
      </c>
    </row>
    <row r="19" spans="2:9" ht="15" customHeight="1" x14ac:dyDescent="0.35">
      <c r="B19" s="91" t="s">
        <v>452</v>
      </c>
      <c r="C19" s="92">
        <v>0.13300000000000001</v>
      </c>
      <c r="D19" s="92">
        <v>0.14399999999999999</v>
      </c>
      <c r="E19" s="92">
        <v>0.154</v>
      </c>
      <c r="F19" s="92">
        <v>0.16500000000000001</v>
      </c>
      <c r="G19" s="92">
        <v>0.17599999999999999</v>
      </c>
      <c r="H19" s="92">
        <v>0.186</v>
      </c>
      <c r="I19" s="92">
        <v>0.19700000000000001</v>
      </c>
    </row>
    <row r="20" spans="2:9" ht="15" customHeight="1" x14ac:dyDescent="0.35">
      <c r="B20" s="91" t="s">
        <v>453</v>
      </c>
      <c r="C20" s="93">
        <v>0.105</v>
      </c>
      <c r="D20" s="93">
        <v>0.11600000000000001</v>
      </c>
      <c r="E20" s="92">
        <v>0.126</v>
      </c>
      <c r="F20" s="92">
        <v>0.13700000000000001</v>
      </c>
      <c r="G20" s="92">
        <v>0.14799999999999999</v>
      </c>
      <c r="H20" s="92">
        <v>0.158</v>
      </c>
      <c r="I20" s="92">
        <v>0.16900000000000001</v>
      </c>
    </row>
    <row r="21" spans="2:9" ht="15" customHeight="1" x14ac:dyDescent="0.35">
      <c r="B21" s="91" t="s">
        <v>19</v>
      </c>
      <c r="C21" s="93">
        <v>9.0999999999999998E-2</v>
      </c>
      <c r="D21" s="93">
        <v>0.10199999999999999</v>
      </c>
      <c r="E21" s="93">
        <v>0.112</v>
      </c>
      <c r="F21" s="94">
        <v>0.123</v>
      </c>
      <c r="G21" s="92">
        <v>0.13400000000000001</v>
      </c>
      <c r="H21" s="92">
        <v>0.14399999999999999</v>
      </c>
      <c r="I21" s="92">
        <v>0.155</v>
      </c>
    </row>
    <row r="22" spans="2:9" ht="15" customHeight="1" x14ac:dyDescent="0.35">
      <c r="B22" s="91" t="s">
        <v>454</v>
      </c>
      <c r="C22" s="95">
        <v>7.6999999999999999E-2</v>
      </c>
      <c r="D22" s="93">
        <v>8.7999999999999995E-2</v>
      </c>
      <c r="E22" s="93">
        <v>9.8000000000000004E-2</v>
      </c>
      <c r="F22" s="93">
        <v>0.109</v>
      </c>
      <c r="G22" s="92">
        <v>0.12</v>
      </c>
      <c r="H22" s="92">
        <v>0.13</v>
      </c>
      <c r="I22" s="92">
        <v>0.14099999999999999</v>
      </c>
    </row>
    <row r="23" spans="2:9" ht="15" customHeight="1" x14ac:dyDescent="0.35">
      <c r="B23" s="91" t="s">
        <v>455</v>
      </c>
      <c r="C23" s="95">
        <v>4.9000000000000002E-2</v>
      </c>
      <c r="D23" s="95">
        <v>0.06</v>
      </c>
      <c r="E23" s="95">
        <v>7.0000000000000007E-2</v>
      </c>
      <c r="F23" s="95">
        <v>8.1000000000000003E-2</v>
      </c>
      <c r="G23" s="93">
        <v>9.1999999999999998E-2</v>
      </c>
      <c r="H23" s="93">
        <v>0.10199999999999999</v>
      </c>
      <c r="I23" s="93">
        <v>0.113</v>
      </c>
    </row>
    <row r="24" spans="2:9" ht="15" customHeight="1" x14ac:dyDescent="0.35">
      <c r="B24" s="91" t="s">
        <v>456</v>
      </c>
      <c r="C24" s="95">
        <v>2.1000000000000001E-2</v>
      </c>
      <c r="D24" s="95">
        <v>3.2000000000000001E-2</v>
      </c>
      <c r="E24" s="95">
        <v>4.2000000000000003E-2</v>
      </c>
      <c r="F24" s="95">
        <v>5.2999999999999999E-2</v>
      </c>
      <c r="G24" s="95">
        <v>6.4000000000000001E-2</v>
      </c>
      <c r="H24" s="95">
        <v>7.3999999999999996E-2</v>
      </c>
      <c r="I24" s="93">
        <v>8.5000000000000006E-2</v>
      </c>
    </row>
    <row r="25" spans="2:9" ht="15" customHeight="1" x14ac:dyDescent="0.35">
      <c r="B25" s="91" t="s">
        <v>457</v>
      </c>
      <c r="C25" s="95">
        <v>-7.0000000000000001E-3</v>
      </c>
      <c r="D25" s="95">
        <v>4.0000000000000001E-3</v>
      </c>
      <c r="E25" s="95">
        <v>1.4E-2</v>
      </c>
      <c r="F25" s="95">
        <v>2.5000000000000001E-2</v>
      </c>
      <c r="G25" s="95">
        <v>3.5999999999999997E-2</v>
      </c>
      <c r="H25" s="95">
        <v>4.5999999999999999E-2</v>
      </c>
      <c r="I25" s="95">
        <v>5.7000000000000002E-2</v>
      </c>
    </row>
  </sheetData>
  <mergeCells count="3">
    <mergeCell ref="B2:K2"/>
    <mergeCell ref="B4:K4"/>
    <mergeCell ref="B16:K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16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52" customWidth="1"/>
    <col min="3" max="3" width="3" customWidth="1"/>
    <col min="4" max="5" width="20" customWidth="1"/>
    <col min="6" max="6" width="12" customWidth="1"/>
  </cols>
  <sheetData>
    <row r="2" spans="2:7" ht="15" customHeight="1" x14ac:dyDescent="0.35">
      <c r="B2" s="5" t="s">
        <v>458</v>
      </c>
      <c r="C2" s="5"/>
      <c r="D2" s="5"/>
      <c r="E2" s="5"/>
      <c r="F2" s="5"/>
      <c r="G2" s="5"/>
    </row>
    <row r="3" spans="2:7" ht="15" customHeight="1" x14ac:dyDescent="0.35">
      <c r="B3" s="29" t="s">
        <v>459</v>
      </c>
      <c r="D3" s="29" t="s">
        <v>78</v>
      </c>
      <c r="E3" s="29" t="s">
        <v>460</v>
      </c>
      <c r="F3" s="29" t="s">
        <v>34</v>
      </c>
    </row>
    <row r="4" spans="2:7" ht="15" customHeight="1" x14ac:dyDescent="0.35">
      <c r="B4" s="4" t="s">
        <v>461</v>
      </c>
      <c r="C4" s="4"/>
      <c r="D4" s="4"/>
      <c r="E4" s="4"/>
      <c r="F4" s="4"/>
      <c r="G4" s="4"/>
    </row>
    <row r="5" spans="2:7" ht="15" customHeight="1" x14ac:dyDescent="0.35">
      <c r="B5" s="15" t="s">
        <v>462</v>
      </c>
      <c r="D5" s="96">
        <f>Assumptions!D22+Assumptions!D23+Assumptions!D24</f>
        <v>0.94</v>
      </c>
      <c r="E5" s="15" t="s">
        <v>463</v>
      </c>
      <c r="F5" s="59" t="s">
        <v>388</v>
      </c>
    </row>
    <row r="6" spans="2:7" ht="15" customHeight="1" x14ac:dyDescent="0.35">
      <c r="B6" s="15" t="s">
        <v>464</v>
      </c>
      <c r="D6" s="96">
        <f>Assumptions!D59+Assumptions!D60</f>
        <v>7.25</v>
      </c>
      <c r="E6" s="97">
        <f>Assumptions!D20</f>
        <v>11</v>
      </c>
      <c r="F6" s="59" t="s">
        <v>388</v>
      </c>
    </row>
    <row r="7" spans="2:7" ht="15" customHeight="1" x14ac:dyDescent="0.35">
      <c r="B7" s="15" t="s">
        <v>465</v>
      </c>
      <c r="D7" s="24">
        <f>Assumptions!D12</f>
        <v>850</v>
      </c>
      <c r="E7" s="15" t="s">
        <v>466</v>
      </c>
      <c r="F7" s="59" t="s">
        <v>388</v>
      </c>
    </row>
    <row r="8" spans="2:7" ht="15" customHeight="1" x14ac:dyDescent="0.35">
      <c r="B8" s="4" t="s">
        <v>467</v>
      </c>
      <c r="C8" s="4"/>
      <c r="D8" s="4"/>
      <c r="E8" s="4"/>
      <c r="F8" s="4"/>
      <c r="G8" s="4"/>
    </row>
    <row r="9" spans="2:7" ht="15" customHeight="1" x14ac:dyDescent="0.35">
      <c r="B9" s="15" t="s">
        <v>468</v>
      </c>
      <c r="D9" s="98">
        <f>Revenue!E14</f>
        <v>0</v>
      </c>
      <c r="E9" s="99">
        <f>PnL!E5</f>
        <v>0</v>
      </c>
      <c r="F9" s="59" t="s">
        <v>388</v>
      </c>
    </row>
    <row r="10" spans="2:7" ht="15" customHeight="1" x14ac:dyDescent="0.35">
      <c r="B10" s="15" t="s">
        <v>469</v>
      </c>
      <c r="D10" s="98">
        <f>CashFlows!E9</f>
        <v>0</v>
      </c>
      <c r="E10" s="100">
        <f>PnL!E7+PnL!E13+Capex!E19</f>
        <v>206</v>
      </c>
      <c r="F10" s="59" t="s">
        <v>388</v>
      </c>
    </row>
    <row r="11" spans="2:7" ht="15" customHeight="1" x14ac:dyDescent="0.35">
      <c r="B11" s="4" t="s">
        <v>470</v>
      </c>
      <c r="C11" s="4"/>
      <c r="D11" s="4"/>
      <c r="E11" s="4"/>
      <c r="F11" s="4"/>
      <c r="G11" s="4"/>
    </row>
    <row r="12" spans="2:7" ht="15" customHeight="1" x14ac:dyDescent="0.35">
      <c r="B12" s="15" t="s">
        <v>471</v>
      </c>
      <c r="D12" s="96">
        <f>SUM(Debt_Schedule!E6:X6)</f>
        <v>163.625</v>
      </c>
      <c r="E12" s="101">
        <f>Assumptions!D59</f>
        <v>1.25</v>
      </c>
      <c r="F12" s="59" t="s">
        <v>388</v>
      </c>
    </row>
    <row r="13" spans="2:7" ht="15" customHeight="1" x14ac:dyDescent="0.35">
      <c r="B13" s="15" t="s">
        <v>472</v>
      </c>
      <c r="D13" s="96">
        <f>Debt_Schedule!X8</f>
        <v>0</v>
      </c>
      <c r="E13" s="15" t="s">
        <v>473</v>
      </c>
      <c r="F13" s="59" t="s">
        <v>388</v>
      </c>
    </row>
    <row r="14" spans="2:7" ht="15" customHeight="1" x14ac:dyDescent="0.35">
      <c r="B14" s="4" t="s">
        <v>474</v>
      </c>
      <c r="C14" s="4"/>
      <c r="D14" s="4"/>
      <c r="E14" s="4"/>
      <c r="F14" s="4"/>
      <c r="G14" s="4"/>
    </row>
    <row r="15" spans="2:7" ht="15" customHeight="1" x14ac:dyDescent="0.35">
      <c r="B15" s="15" t="s">
        <v>475</v>
      </c>
      <c r="D15" s="96">
        <f>MIN(Debt_Schedule!H15:X15)</f>
        <v>-0.39</v>
      </c>
      <c r="E15" s="15" t="s">
        <v>476</v>
      </c>
      <c r="F15" s="59" t="s">
        <v>388</v>
      </c>
    </row>
    <row r="16" spans="2:7" ht="15" customHeight="1" x14ac:dyDescent="0.35">
      <c r="B16" s="15" t="s">
        <v>477</v>
      </c>
      <c r="D16" s="96">
        <f>COUNTIF(Debt_Schedule!H15:X15,"&lt;1.25")</f>
        <v>15</v>
      </c>
      <c r="E16" s="15" t="s">
        <v>478</v>
      </c>
      <c r="F16" s="59" t="s">
        <v>388</v>
      </c>
    </row>
  </sheetData>
  <mergeCells count="5">
    <mergeCell ref="B2:G2"/>
    <mergeCell ref="B4:G4"/>
    <mergeCell ref="B8:G8"/>
    <mergeCell ref="B11:G11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A73E8"/>
  </sheetPr>
  <dimension ref="B2:M11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18" customWidth="1"/>
    <col min="3" max="3" width="3" customWidth="1"/>
    <col min="4" max="4" width="18" customWidth="1"/>
    <col min="5" max="5" width="3" customWidth="1"/>
    <col min="6" max="6" width="18" customWidth="1"/>
    <col min="7" max="7" width="3" customWidth="1"/>
    <col min="8" max="8" width="18" customWidth="1"/>
  </cols>
  <sheetData>
    <row r="2" spans="2:13" ht="31.5" customHeight="1" x14ac:dyDescent="0.35">
      <c r="B2" s="1" t="s">
        <v>479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15" customHeight="1" x14ac:dyDescent="0.35">
      <c r="B3" s="76" t="s">
        <v>480</v>
      </c>
      <c r="C3" s="102" t="s">
        <v>381</v>
      </c>
      <c r="D3" s="15" t="s">
        <v>481</v>
      </c>
    </row>
    <row r="5" spans="2:13" ht="15" customHeight="1" x14ac:dyDescent="0.35">
      <c r="B5" s="103" t="s">
        <v>20</v>
      </c>
      <c r="D5" s="103" t="s">
        <v>22</v>
      </c>
      <c r="F5" s="103" t="s">
        <v>482</v>
      </c>
    </row>
    <row r="6" spans="2:13" ht="26.25" customHeight="1" x14ac:dyDescent="0.65">
      <c r="B6" s="104" t="s">
        <v>483</v>
      </c>
      <c r="D6" s="104" t="s">
        <v>484</v>
      </c>
      <c r="F6" s="105" t="s">
        <v>485</v>
      </c>
    </row>
    <row r="7" spans="2:13" ht="15" customHeight="1" x14ac:dyDescent="0.35">
      <c r="B7" s="106" t="s">
        <v>486</v>
      </c>
      <c r="D7" s="106" t="s">
        <v>487</v>
      </c>
      <c r="F7" s="106" t="s">
        <v>488</v>
      </c>
    </row>
    <row r="9" spans="2:13" ht="15" customHeight="1" x14ac:dyDescent="0.35">
      <c r="B9" s="103" t="s">
        <v>26</v>
      </c>
      <c r="D9" s="103" t="s">
        <v>28</v>
      </c>
      <c r="F9" s="103" t="s">
        <v>489</v>
      </c>
    </row>
    <row r="10" spans="2:13" ht="26.25" customHeight="1" x14ac:dyDescent="0.65">
      <c r="B10" s="105" t="s">
        <v>490</v>
      </c>
      <c r="D10" s="104" t="s">
        <v>491</v>
      </c>
      <c r="F10" s="104" t="s">
        <v>492</v>
      </c>
    </row>
    <row r="11" spans="2:13" ht="15" customHeight="1" x14ac:dyDescent="0.35">
      <c r="B11" s="106" t="s">
        <v>493</v>
      </c>
      <c r="D11" s="106" t="s">
        <v>494</v>
      </c>
      <c r="F11" s="106" t="s">
        <v>495</v>
      </c>
    </row>
  </sheetData>
  <mergeCells count="1"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Assumptions</vt:lpstr>
      <vt:lpstr>Revenue</vt:lpstr>
      <vt:lpstr>Capex</vt:lpstr>
      <vt:lpstr>PnL</vt:lpstr>
      <vt:lpstr>Debt_Schedule</vt:lpstr>
      <vt:lpstr>CashFlows</vt:lpstr>
      <vt:lpstr>Returns</vt:lpstr>
      <vt:lpstr>Sensitivity</vt:lpstr>
      <vt:lpstr>Checks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Zhong, Jiawei (SG/Advisory)</cp:lastModifiedBy>
  <cp:revision>0</cp:revision>
  <dcterms:created xsi:type="dcterms:W3CDTF">2026-05-05T12:17:10Z</dcterms:created>
  <dcterms:modified xsi:type="dcterms:W3CDTF">2026-05-06T05:21:30Z</dcterms:modified>
  <dc:language>en-US</dc:language>
</cp:coreProperties>
</file>