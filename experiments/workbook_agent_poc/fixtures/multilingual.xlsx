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主页" sheetId="1" state="visible" r:id="rId3"/>
    <sheet name="业务测算" sheetId="2" state="visible" r:id="rId4"/>
    <sheet name="融资结构" sheetId="3" state="visible" r:id="rId5"/>
    <sheet name="测算底稿" sheetId="4" state="visible" r:id="rId6"/>
    <sheet name="结果页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<sst xmlns="http://schemas.openxmlformats.org/spreadsheetml/2006/main" count="14" uniqueCount="14">
  <si>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项目主页</t>
  </si>
  <si>
    <t xml:space="preserve">项目名称</t>
  </si>
  <si>
    <t xml:space="preserve">西部风电三期</t>
  </si>
  <si>
    <t xml:space="preserve">建设期</t>
  </si>
  <si>
    <t xml:space="preserve">利用率</t>
  </si>
  <si>
    <t xml:space="preserve">电价增长率</t>
  </si>
  <si>
    <t xml:space="preserve">上网电价</t>
  </si>
  <si>
    <t xml:space="preserve">贷款利率</t>
  </si>
  <si>
    <t xml:space="preserve">偿债覆盖率门槛</t>
  </si>
  <si>
    <t xml:space="preserve">尾期市场化折扣系数</t>
  </si>
  <si>
    <t xml:space="preserve">含税电价</t>
  </si>
  <si>
    <t xml:space="preserve">年发电量</t>
  </si>
  <si>
    <t xml:space="preserve">项目内部收益率</t>
  </si>
  <si>
    <t xml:space="preserve">资本金内部收益率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</si>
</sst>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Linux Libertine G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0</v>
      </c>
      <c r="C2" s="1"/>
      <c r="D2" s="1"/>
    </row>
    <row r="3" customFormat="false" ht="13.8" hidden="false" customHeight="false" outlineLevel="0" collapsed="false">
      <c r="B3" s="2" t="s">
        <v>1</v>
      </c>
      <c r="C3" s="2" t="s">
        <v>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s">
        <v>3</v>
      </c>
      <c r="C3" s="0" t="n">
        <v>3</v>
      </c>
    </row>
    <row r="4" customFormat="false" ht="13.8" hidden="false" customHeight="false" outlineLevel="0" collapsed="false">
      <c r="B4" s="2" t="s">
        <v>4</v>
      </c>
      <c r="C4" s="0" t="n">
        <v>0.42</v>
      </c>
    </row>
    <row r="5" customFormat="false" ht="13.8" hidden="false" customHeight="false" outlineLevel="0" collapsed="false">
      <c r="B5" s="2" t="s">
        <v>5</v>
      </c>
      <c r="C5" s="0" t="n">
        <v>0.02</v>
      </c>
    </row>
    <row r="6" customFormat="false" ht="13.8" hidden="false" customHeight="false" outlineLevel="0" collapsed="false">
      <c r="B6" s="2" t="s">
        <v>6</v>
      </c>
      <c r="C6" s="0" t="n">
        <v>0.38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s">
        <v>7</v>
      </c>
      <c r="C3" s="0" t="n">
        <v>0.049</v>
      </c>
    </row>
    <row r="4" customFormat="false" ht="13.8" hidden="false" customHeight="false" outlineLevel="0" collapsed="false">
      <c r="B4" s="2" t="s">
        <v>8</v>
      </c>
      <c r="C4" s="0" t="n">
        <v>1.2</v>
      </c>
    </row>
    <row r="5" customFormat="false" ht="13.8" hidden="false" customHeight="false" outlineLevel="0" collapsed="false">
      <c r="B5" s="2" t="s">
        <v>9</v>
      </c>
      <c r="C5" s="0" t="n">
        <v>0.87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s">
        <v>10</v>
      </c>
      <c r="C3" s="0" t="n">
        <f aca="false">业务测算!C6*(1+0.13)</f>
        <v>0.4294</v>
      </c>
    </row>
    <row r="4" customFormat="false" ht="13.8" hidden="false" customHeight="false" outlineLevel="0" collapsed="false">
      <c r="B4" s="2" t="s">
        <v>11</v>
      </c>
      <c r="C4" s="0" t="n">
        <f aca="false">8760*0.42*120</f>
        <v>441504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" t="s">
        <v>12</v>
      </c>
      <c r="C3" s="0" t="n">
        <v>0.096</v>
      </c>
    </row>
    <row r="4" customFormat="false" ht="13.8" hidden="false" customHeight="false" outlineLevel="0" collapsed="false">
      <c r="B4" s="2" t="s">
        <v>13</v>
      </c>
      <c r="C4" s="0" t="n">
        <f aca="false">测算底稿!C3+0.02</f>
        <v>0.4494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2026-07-13T06:34:42Z</dcterms:created>
  <dc:creator>openpyxl</dc:creator>
  <dc:description/>
  <dc:language>en-US</dc:language>
  <cp:lastModifiedBy/>
  <dcterms:modified xsi:type="dcterms:W3CDTF">2026-07-13T06:34:42Z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