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Overview" sheetId="1" state="visible" r:id="rId3"/>
    <sheet name="Operations" sheetId="2" state="visible" r:id="rId4"/>
    <sheet name="Funding" sheetId="3" state="visible" r:id="rId5"/>
    <sheet name="Calc" sheetId="4" state="visible" r:id="rId6"/>
    <sheet name="Summary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<sst xmlns="http://schemas.openxmlformats.org/spreadsheetml/2006/main" count="28" uniqueCount="28">
  <si>
    <t xml:space="preserve">PROJECT OVERVIEW</t>
  </si>
  <si>
    <t xml:space="preserve">Project name</t>
  </si>
  <si>
    <t xml:space="preserve">Riverbend Solar 120MW</t>
  </si>
  <si>
    <t xml:space="preserve">Report date</t>
  </si>
  <si>
    <t xml:space="preserve">2026-03-01</t>
  </si>
  <si>
    <t xml:space="preserve">Prepared by</t>
  </si>
  <si>
    <t xml:space="preserve">Deal Team</t>
  </si>
  <si>
    <t xml:space="preserve">Operations</t>
  </si>
  <si>
    <t xml:space="preserve">Annual volume growth</t>
  </si>
  <si>
    <t xml:space="preserve">Tariff escalation</t>
  </si>
  <si>
    <t xml:space="preserve">Plant utilisation</t>
  </si>
  <si>
    <t xml:space="preserve">Base tariff (USD/MWh)</t>
  </si>
  <si>
    <t xml:space="preserve">Year-1 effective tariff</t>
  </si>
  <si>
    <t xml:space="preserve">Funding</t>
  </si>
  <si>
    <t xml:space="preserve">Base capex (USD m)</t>
  </si>
  <si>
    <t xml:space="preserve">Capex contingency %</t>
  </si>
  <si>
    <t xml:space="preserve">Capex including contingency</t>
  </si>
  <si>
    <t xml:space="preserve">Debt margin</t>
  </si>
  <si>
    <t xml:space="preserve">Gearing (debt %)</t>
  </si>
  <si>
    <t xml:space="preserve">Calculations</t>
  </si>
  <si>
    <t xml:space="preserve">Corporate tax rate</t>
  </si>
  <si>
    <t xml:space="preserve">Debt amount</t>
  </si>
  <si>
    <t xml:space="preserve">Equity amount</t>
  </si>
  <si>
    <t xml:space="preserve">Summary of results</t>
  </si>
  <si>
    <t xml:space="preserve">Project IRR</t>
  </si>
  <si>
    <t xml:space="preserve">Equity IRR</t>
  </si>
  <si>
    <t xml:space="preserve">Minimum DSCR</t>
  </si>
  <si>
    <t xml:space="preserve">Total project cost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</si>
</sst>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D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2.8" customHeight="false" zeroHeight="false" outlineLevelRow="0" outlineLevelCol="0"/>
  <sheetData>
    <row r="1" customFormat="false" ht="13.8" hidden="false" customHeight="false" outlineLevel="0" collapsed="false"/>
    <row r="2" customFormat="false" ht="13.8" hidden="false" customHeight="false" outlineLevel="0" collapsed="false">
      <c r="B2" s="1" t="s">
        <v>0</v>
      </c>
      <c r="C2" s="1"/>
      <c r="D2" s="1"/>
    </row>
    <row r="3" customFormat="false" ht="13.8" hidden="false" customHeight="false" outlineLevel="0" collapsed="false">
      <c r="B3" s="0" t="s">
        <v>1</v>
      </c>
      <c r="C3" s="0" t="s">
        <v>2</v>
      </c>
    </row>
    <row r="4" customFormat="false" ht="13.8" hidden="false" customHeight="false" outlineLevel="0" collapsed="false">
      <c r="B4" s="0" t="s">
        <v>3</v>
      </c>
      <c r="C4" s="0" t="s">
        <v>4</v>
      </c>
    </row>
    <row r="5" customFormat="false" ht="13.8" hidden="false" customHeight="false" outlineLevel="0" collapsed="false">
      <c r="B5" s="0" t="s">
        <v>5</v>
      </c>
      <c r="C5" s="0" t="s">
        <v>6</v>
      </c>
    </row>
  </sheetData>
  <mergeCells count="1">
    <mergeCell ref="B2:D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D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6796875" defaultRowHeight="12.8" customHeight="false" zeroHeight="false" outlineLevelRow="0" outlineLevelCol="0"/>
  <sheetData>
    <row r="1" customFormat="false" ht="13.8" hidden="false" customHeight="false" outlineLevel="0" collapsed="false"/>
    <row r="2" customFormat="false" ht="13.8" hidden="false" customHeight="false" outlineLevel="0" collapsed="false">
      <c r="B2" s="1" t="s">
        <v>7</v>
      </c>
      <c r="C2" s="1"/>
      <c r="D2" s="1"/>
    </row>
    <row r="3" customFormat="false" ht="13.8" hidden="false" customHeight="false" outlineLevel="0" collapsed="false">
      <c r="B3" s="0" t="s">
        <v>8</v>
      </c>
      <c r="C3" s="0" t="n">
        <v>0.03</v>
      </c>
    </row>
    <row r="4" customFormat="false" ht="13.8" hidden="false" customHeight="false" outlineLevel="0" collapsed="false">
      <c r="B4" s="0" t="s">
        <v>9</v>
      </c>
      <c r="C4" s="0" t="n">
        <v>0.025</v>
      </c>
    </row>
    <row r="5" customFormat="false" ht="13.8" hidden="false" customHeight="false" outlineLevel="0" collapsed="false">
      <c r="B5" s="0" t="s">
        <v>10</v>
      </c>
      <c r="C5" s="0" t="n">
        <v>0.94</v>
      </c>
    </row>
    <row r="6" customFormat="false" ht="13.8" hidden="false" customHeight="false" outlineLevel="0" collapsed="false">
      <c r="B6" s="0" t="s">
        <v>11</v>
      </c>
      <c r="C6" s="0" t="n">
        <v>45</v>
      </c>
    </row>
    <row r="7" customFormat="false" ht="13.8" hidden="false" customHeight="false" outlineLevel="0" collapsed="false">
      <c r="B7" s="0" t="s">
        <v>12</v>
      </c>
      <c r="C7" s="0" t="n">
        <f aca="false">C6*(1+C4)</f>
        <v>46.125</v>
      </c>
    </row>
  </sheetData>
  <mergeCells count="1">
    <mergeCell ref="B2:D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D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6796875" defaultRowHeight="12.8" customHeight="false" zeroHeight="false" outlineLevelRow="0" outlineLevelCol="0"/>
  <sheetData>
    <row r="1" customFormat="false" ht="13.8" hidden="false" customHeight="false" outlineLevel="0" collapsed="false"/>
    <row r="2" customFormat="false" ht="13.8" hidden="false" customHeight="false" outlineLevel="0" collapsed="false">
      <c r="B2" s="1" t="s">
        <v>13</v>
      </c>
      <c r="C2" s="1"/>
      <c r="D2" s="1"/>
    </row>
    <row r="3" customFormat="false" ht="13.8" hidden="false" customHeight="false" outlineLevel="0" collapsed="false">
      <c r="B3" s="0" t="s">
        <v>14</v>
      </c>
      <c r="C3" s="0" t="n">
        <v>400</v>
      </c>
    </row>
    <row r="4" customFormat="false" ht="13.8" hidden="false" customHeight="false" outlineLevel="0" collapsed="false">
      <c r="B4" s="0" t="s">
        <v>15</v>
      </c>
      <c r="C4" s="0" t="n">
        <v>0.08</v>
      </c>
    </row>
    <row r="5" customFormat="false" ht="13.8" hidden="false" customHeight="false" outlineLevel="0" collapsed="false">
      <c r="B5" s="0" t="s">
        <v>16</v>
      </c>
      <c r="C5" s="0" t="n">
        <f aca="false">C3*(1+C4)</f>
        <v>432</v>
      </c>
    </row>
    <row r="6" customFormat="false" ht="13.8" hidden="false" customHeight="false" outlineLevel="0" collapsed="false">
      <c r="B6" s="0" t="s">
        <v>17</v>
      </c>
      <c r="C6" s="0" t="n">
        <v>0.0185</v>
      </c>
    </row>
    <row r="7" customFormat="false" ht="13.8" hidden="false" customHeight="false" outlineLevel="0" collapsed="false">
      <c r="B7" s="0" t="s">
        <v>18</v>
      </c>
      <c r="C7" s="0" t="n">
        <v>0.7</v>
      </c>
    </row>
  </sheetData>
  <mergeCells count="1">
    <mergeCell ref="B2:D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D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6796875" defaultRowHeight="12.8" customHeight="false" zeroHeight="false" outlineLevelRow="0" outlineLevelCol="0"/>
  <sheetData>
    <row r="1" customFormat="false" ht="13.8" hidden="false" customHeight="false" outlineLevel="0" collapsed="false"/>
    <row r="2" customFormat="false" ht="13.8" hidden="false" customHeight="false" outlineLevel="0" collapsed="false">
      <c r="B2" s="1" t="s">
        <v>19</v>
      </c>
      <c r="C2" s="1"/>
      <c r="D2" s="1"/>
    </row>
    <row r="3" customFormat="false" ht="13.8" hidden="false" customHeight="false" outlineLevel="0" collapsed="false">
      <c r="B3" s="0" t="s">
        <v>20</v>
      </c>
      <c r="C3" s="0" t="n">
        <v>0.17</v>
      </c>
    </row>
    <row r="4" customFormat="false" ht="13.8" hidden="false" customHeight="false" outlineLevel="0" collapsed="false">
      <c r="B4" s="0" t="s">
        <v>21</v>
      </c>
      <c r="C4" s="0" t="n">
        <f aca="false">Funding!C5*Funding!C7</f>
        <v>302.4</v>
      </c>
    </row>
    <row r="5" customFormat="false" ht="13.8" hidden="false" customHeight="false" outlineLevel="0" collapsed="false">
      <c r="B5" s="0" t="s">
        <v>22</v>
      </c>
      <c r="C5" s="0" t="n">
        <f aca="false">Funding!C5-C4</f>
        <v>129.6</v>
      </c>
    </row>
  </sheetData>
  <mergeCells count="1">
    <mergeCell ref="B2:D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D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6796875" defaultRowHeight="12.8" customHeight="false" zeroHeight="false" outlineLevelRow="0" outlineLevelCol="0"/>
  <sheetData>
    <row r="1" customFormat="false" ht="13.8" hidden="false" customHeight="false" outlineLevel="0" collapsed="false"/>
    <row r="2" customFormat="false" ht="13.8" hidden="false" customHeight="false" outlineLevel="0" collapsed="false">
      <c r="B2" s="1" t="s">
        <v>23</v>
      </c>
      <c r="C2" s="1"/>
      <c r="D2" s="1"/>
    </row>
    <row r="3" customFormat="false" ht="13.8" hidden="false" customHeight="false" outlineLevel="0" collapsed="false">
      <c r="B3" s="0" t="s">
        <v>24</v>
      </c>
      <c r="C3" s="0" t="n">
        <v>0.112</v>
      </c>
    </row>
    <row r="4" customFormat="false" ht="13.8" hidden="false" customHeight="false" outlineLevel="0" collapsed="false">
      <c r="B4" s="0" t="s">
        <v>25</v>
      </c>
      <c r="C4" s="0" t="n">
        <f aca="false">Calc!C5/Funding!C5</f>
        <v>0.3</v>
      </c>
    </row>
    <row r="5" customFormat="false" ht="13.8" hidden="false" customHeight="false" outlineLevel="0" collapsed="false">
      <c r="B5" s="0" t="s">
        <v>26</v>
      </c>
      <c r="C5" s="0" t="n">
        <f aca="false">1+0.35</f>
        <v>1.35</v>
      </c>
    </row>
    <row r="6" customFormat="false" ht="13.8" hidden="false" customHeight="false" outlineLevel="0" collapsed="false">
      <c r="B6" s="0" t="s">
        <v>27</v>
      </c>
      <c r="C6" s="0" t="n">
        <f aca="false">Funding!C5</f>
        <v>432</v>
      </c>
    </row>
  </sheetData>
  <mergeCells count="1">
    <mergeCell ref="B2:D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LibreOfficeDev/26.8.0.0.alpha0$MacOSX_AARCH64 LibreOffice_project/2c87e51eeaa2b413ff4ae097b2705eea1995d8e5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2026-07-13T06:34:41Z</dcterms:created>
  <dc:creator>openpyxl</dc:creator>
  <dc:description/>
  <dc:language>en-US</dc:language>
  <cp:lastModifiedBy/>
  <dcterms:modified xsi:type="dcterms:W3CDTF">2026-07-13T06:34:41Z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