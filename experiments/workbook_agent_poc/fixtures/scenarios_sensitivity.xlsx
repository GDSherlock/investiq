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and" sheetId="1" state="visible" r:id="rId3"/>
    <sheet name="Costs" sheetId="2" state="visible" r:id="rId4"/>
    <sheet name="Cases" sheetId="3" state="visible" r:id="rId5"/>
    <sheet name="Result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<sst xmlns="http://schemas.openxmlformats.org/spreadsheetml/2006/main" count="18" uniqueCount="14">
  <si>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t xml:space="preserve">Demand</t>
  </si>
  <si>
    <t xml:space="preserve">Downside</t>
  </si>
  <si>
    <t xml:space="preserve">Base</t>
  </si>
  <si>
    <t xml:space="preserve">Upside</t>
  </si>
  <si>
    <t xml:space="preserve">Load factor</t>
  </si>
  <si>
    <t xml:space="preserve">Demand growth</t>
  </si>
  <si>
    <t xml:space="preserve">Costs</t>
  </si>
  <si>
    <t xml:space="preserve">Unit opex</t>
  </si>
  <si>
    <t xml:space="preserve">Fuel price</t>
  </si>
  <si>
    <t xml:space="preserve">Active case</t>
  </si>
  <si>
    <t xml:space="preserve">Results</t>
  </si>
  <si>
    <t xml:space="preserve">Project IRR</t>
  </si>
  <si>
    <t xml:space="preserve">Payback (years)</t>
  </si>
  <si>
    <t xml:space="preserve">IRR sensitivity: rows=Fuel price, cols=Load factor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</si>
</sst>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</row>
    <row r="3" customFormat="false" ht="13.8" hidden="false" customHeight="false" outlineLevel="0" collapsed="false">
      <c r="B3" s="0" t="s">
        <v>4</v>
      </c>
      <c r="C3" s="0" t="n">
        <v>0.3</v>
      </c>
      <c r="D3" s="0" t="n">
        <v>0.35</v>
      </c>
      <c r="E3" s="0" t="n">
        <v>0.4</v>
      </c>
    </row>
    <row r="4" customFormat="false" ht="13.8" hidden="false" customHeight="false" outlineLevel="0" collapsed="false">
      <c r="B4" s="0" t="s">
        <v>5</v>
      </c>
      <c r="C4" s="0" t="n">
        <v>0.01</v>
      </c>
      <c r="D4" s="0" t="n">
        <v>0.02</v>
      </c>
      <c r="E4" s="0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0" t="s">
        <v>6</v>
      </c>
      <c r="C2" s="0" t="s">
        <v>1</v>
      </c>
      <c r="D2" s="0" t="s">
        <v>2</v>
      </c>
      <c r="E2" s="0" t="s">
        <v>3</v>
      </c>
    </row>
    <row r="3" customFormat="false" ht="13.8" hidden="false" customHeight="false" outlineLevel="0" collapsed="false">
      <c r="B3" s="0" t="s">
        <v>7</v>
      </c>
      <c r="C3" s="0" t="n">
        <v>22</v>
      </c>
      <c r="D3" s="0" t="n">
        <v>20</v>
      </c>
      <c r="E3" s="0" t="n">
        <v>18</v>
      </c>
    </row>
    <row r="4" customFormat="false" ht="13.8" hidden="false" customHeight="false" outlineLevel="0" collapsed="false">
      <c r="B4" s="0" t="s">
        <v>8</v>
      </c>
      <c r="C4" s="0" t="n">
        <v>4.5</v>
      </c>
      <c r="D4" s="0" t="n">
        <v>4</v>
      </c>
      <c r="E4" s="0" t="n">
        <v>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0" t="s">
        <v>9</v>
      </c>
      <c r="C2" s="1" t="s">
        <v>2</v>
      </c>
    </row>
  </sheetData>
  <dataValidations count="1">
    <dataValidation allowBlank="false" errorStyle="stop" operator="equal" showDropDown="false" showErrorMessage="false" showInputMessage="false" sqref="C2" type="list">
      <formula1>"Downside,Base,Upside"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0" t="s">
        <v>10</v>
      </c>
    </row>
    <row r="3" customFormat="false" ht="13.8" hidden="false" customHeight="false" outlineLevel="0" collapsed="false">
      <c r="B3" s="0" t="s">
        <v>11</v>
      </c>
      <c r="C3" s="0" t="n">
        <f aca="false">Demand!D3*0.2+Costs!D4*-0.005+0.08</f>
        <v>0.13</v>
      </c>
    </row>
    <row r="4" customFormat="false" ht="13.8" hidden="false" customHeight="false" outlineLevel="0" collapsed="false">
      <c r="B4" s="0" t="s">
        <v>12</v>
      </c>
      <c r="C4" s="0" t="n">
        <v>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0" t="s">
        <v>13</v>
      </c>
    </row>
    <row r="3" customFormat="false" ht="13.8" hidden="false" customHeight="false" outlineLevel="0" collapsed="false"/>
    <row r="4" customFormat="false" ht="13.8" hidden="false" customHeight="false" outlineLevel="0" collapsed="false">
      <c r="C4" s="0" t="n">
        <f aca="false">Result!C3</f>
        <v>0.13</v>
      </c>
      <c r="D4" s="0" t="n">
        <v>0.3</v>
      </c>
      <c r="E4" s="0" t="n">
        <v>0.4</v>
      </c>
    </row>
    <row r="5" customFormat="false" ht="13.8" hidden="false" customHeight="false" outlineLevel="0" collapsed="false">
      <c r="C5" s="0" t="n">
        <v>4.5</v>
      </c>
      <c r="D5" s="0" t="n">
        <f aca="false">$C5*D$4*10</f>
        <v>13.5</v>
      </c>
      <c r="E5" s="0" t="n">
        <f aca="false">$C5*E$4*10</f>
        <v>18</v>
      </c>
    </row>
    <row r="6" customFormat="false" ht="13.8" hidden="false" customHeight="false" outlineLevel="0" collapsed="false">
      <c r="C6" s="0" t="n">
        <v>3.5</v>
      </c>
      <c r="D6" s="0" t="n">
        <f aca="false">$C6*D$4*10</f>
        <v>10.5</v>
      </c>
      <c r="E6" s="0" t="n">
        <f aca="false">$C6*E$4*10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2026-07-13T06:34:44Z</dcterms:created>
  <dc:creator>openpyxl</dc:creator>
  <dc:description/>
  <dc:language>en-US</dc:language>
  <cp:lastModifiedBy/>
  <dcterms:modified xsi:type="dcterms:W3CDTF">2026-07-13T06:34:44Z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