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192794aa2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etup" sheetId="1" r:id="Rfd29747fe1c94603"/>
    <x:sheet xmlns:r="http://schemas.openxmlformats.org/officeDocument/2006/relationships" name="Build Schedule" sheetId="2" r:id="R1f36cba868964d9f"/>
    <x:sheet xmlns:r="http://schemas.openxmlformats.org/officeDocument/2006/relationships" name="Solar Operations" sheetId="3" r:id="R0cfc3f94f81f4dcd"/>
    <x:sheet xmlns:r="http://schemas.openxmlformats.org/officeDocument/2006/relationships" name="Debt Sculpting" sheetId="4" r:id="R7487f80e6fea4113"/>
    <x:sheet xmlns:r="http://schemas.openxmlformats.org/officeDocument/2006/relationships" name="Cash Flow" sheetId="5" r:id="R1d4b4832b59c4c9a"/>
    <x:sheet xmlns:r="http://schemas.openxmlformats.org/officeDocument/2006/relationships" name="Investor Returns" sheetId="6" r:id="Rf52b4a09d623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#,##0;[Red](#,##0);-"/>
    <x:numFmt numFmtId="202" formatCode="#,##0.0;[Red](#,##0.0);-"/>
    <x:numFmt numFmtId="203" formatCode="0.0x;[Red](0.0x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808080"/>
      </x:bottom>
    </x:border>
    <x:border>
      <x:bottom style="thin">
        <x:color rgb="FF80808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b7c1766a24c33" /><Relationship Type="http://schemas.openxmlformats.org/officeDocument/2006/relationships/theme" Target="/xl/theme/theme1.xml" Id="Rfd27e9cca489450d" /><Relationship Type="http://schemas.openxmlformats.org/officeDocument/2006/relationships/sharedStrings" Target="/xl/sharedStrings.xml" Id="Rd317df0259d045e6" /><Relationship Type="http://schemas.openxmlformats.org/officeDocument/2006/relationships/worksheet" Target="/xl/worksheets/sheet1.xml" Id="Rfd29747fe1c94603" /><Relationship Type="http://schemas.openxmlformats.org/officeDocument/2006/relationships/worksheet" Target="/xl/worksheets/sheet2.xml" Id="R1f36cba868964d9f" /><Relationship Type="http://schemas.openxmlformats.org/officeDocument/2006/relationships/worksheet" Target="/xl/worksheets/sheet3.xml" Id="R0cfc3f94f81f4dcd" /><Relationship Type="http://schemas.openxmlformats.org/officeDocument/2006/relationships/worksheet" Target="/xl/worksheets/sheet4.xml" Id="R7487f80e6fea4113" /><Relationship Type="http://schemas.openxmlformats.org/officeDocument/2006/relationships/worksheet" Target="/xl/worksheets/sheet5.xml" Id="R1d4b4832b59c4c9a" /><Relationship Type="http://schemas.openxmlformats.org/officeDocument/2006/relationships/worksheet" Target="/xl/worksheets/sheet6.xml" Id="Rf52b4a09d623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6" hidden="0" customWidth="1"/>
  </x:cols>
  <x:sheetData>
    <x:row r="1" ht="26" customHeight="1">
      <x:c r="A1" s="5" t="str">
        <x:v>Utility-Scale Solar PV Project Finance Model</x:v>
      </x:c>
    </x:row>
    <x:row r="3">
      <x:c r="A3" s="12" t="str">
        <x:v>Project and Commercial Inputs</x:v>
      </x:c>
      <x:c r="B3" s="12"/>
      <x:c r="C3" s="12"/>
      <x:c r="D3" s="12"/>
      <x:c r="E3" s="12"/>
      <x:c r="F3" s="12"/>
    </x:row>
    <x:row r="4">
      <x:c r="A4" s="20" t="str">
        <x:v>Input</x:v>
      </x:c>
      <x:c r="B4" s="20" t="str">
        <x:v>Unit</x:v>
      </x:c>
      <x:c r="C4" s="20" t="str">
        <x:v>Base Case</x:v>
      </x:c>
    </x:row>
    <x:row r="5">
      <x:c r="A5" t="str">
        <x:v>Project capacity</x:v>
      </x:c>
      <x:c r="B5" t="str">
        <x:v>MW</x:v>
      </x:c>
      <x:c r="C5" s="32" t="n">
        <x:v>180</x:v>
      </x:c>
    </x:row>
    <x:row r="6">
      <x:c r="A6" t="str">
        <x:v>Construction start</x:v>
      </x:c>
      <x:c r="B6" t="str">
        <x:v>Year</x:v>
      </x:c>
      <x:c r="C6" s="32" t="n">
        <x:v>2027</x:v>
      </x:c>
    </x:row>
    <x:row r="7">
      <x:c r="A7" t="str">
        <x:v>Construction period</x:v>
      </x:c>
      <x:c r="B7" t="str">
        <x:v>Years</x:v>
      </x:c>
      <x:c r="C7" s="32" t="n">
        <x:v>2</x:v>
      </x:c>
    </x:row>
    <x:row r="8">
      <x:c r="A8" t="str">
        <x:v>Operating life</x:v>
      </x:c>
      <x:c r="B8" t="str">
        <x:v>Years</x:v>
      </x:c>
      <x:c r="C8" s="32" t="n">
        <x:v>25</x:v>
      </x:c>
    </x:row>
    <x:row r="9">
      <x:c r="A9" t="str">
        <x:v>Base power price</x:v>
      </x:c>
      <x:c r="B9" t="str">
        <x:v>$/MWh</x:v>
      </x:c>
      <x:c r="C9" s="34" t="n">
        <x:v>62</x:v>
      </x:c>
    </x:row>
    <x:row r="10">
      <x:c r="A10" t="str">
        <x:v>Power price escalation</x:v>
      </x:c>
      <x:c r="B10" t="str">
        <x:v>%</x:v>
      </x:c>
      <x:c r="C10" s="30" t="n">
        <x:v>0.018</x:v>
      </x:c>
    </x:row>
    <x:row r="11">
      <x:c r="A11" t="str">
        <x:v>Net capacity factor</x:v>
      </x:c>
      <x:c r="B11" t="str">
        <x:v>%</x:v>
      </x:c>
      <x:c r="C11" s="30" t="n">
        <x:v>0.275</x:v>
      </x:c>
    </x:row>
    <x:row r="12">
      <x:c r="A12" t="str">
        <x:v>Annual degradation</x:v>
      </x:c>
      <x:c r="B12" t="str">
        <x:v>%</x:v>
      </x:c>
      <x:c r="C12" s="34" t="n">
        <x:v>0.004</x:v>
      </x:c>
    </x:row>
    <x:row r="13">
      <x:c r="A13" t="str">
        <x:v>Total EPC cost</x:v>
      </x:c>
      <x:c r="B13" t="str">
        <x:v>$mm</x:v>
      </x:c>
      <x:c r="C13" s="30" t="n">
        <x:v>198</x:v>
      </x:c>
    </x:row>
    <x:row r="14">
      <x:c r="A14" t="str">
        <x:v>EPC contingency</x:v>
      </x:c>
      <x:c r="B14" t="str">
        <x:v>%</x:v>
      </x:c>
      <x:c r="C14" s="34" t="n">
        <x:v>0.075</x:v>
      </x:c>
    </x:row>
    <x:row r="15">
      <x:c r="A15" t="str">
        <x:v>Fixed O&amp;M</x:v>
      </x:c>
      <x:c r="B15" t="str">
        <x:v>$mm/year</x:v>
      </x:c>
      <x:c r="C15" s="34" t="n">
        <x:v>3.2</x:v>
      </x:c>
    </x:row>
    <x:row r="16">
      <x:c r="A16" t="str">
        <x:v>Variable O&amp;M</x:v>
      </x:c>
      <x:c r="B16" t="str">
        <x:v>$/MWh</x:v>
      </x:c>
      <x:c r="C16" s="34" t="n">
        <x:v>2.4</x:v>
      </x:c>
    </x:row>
    <x:row r="18">
      <x:c r="A18" s="12" t="str">
        <x:v>Financing Inputs</x:v>
      </x:c>
      <x:c r="B18" s="12"/>
      <x:c r="C18" s="12"/>
      <x:c r="D18" s="12"/>
      <x:c r="E18" s="12"/>
      <x:c r="F18" s="12"/>
    </x:row>
    <x:row r="19">
      <x:c r="A19" s="20" t="str">
        <x:v>Input</x:v>
      </x:c>
      <x:c r="B19" s="20" t="str">
        <x:v>Unit</x:v>
      </x:c>
      <x:c r="C19" s="20" t="str">
        <x:v>Base Case</x:v>
      </x:c>
    </x:row>
    <x:row r="20">
      <x:c r="A20" t="str">
        <x:v>Debt share</x:v>
      </x:c>
      <x:c r="B20" t="str">
        <x:v>%</x:v>
      </x:c>
      <x:c r="C20" s="30" t="n">
        <x:v>0.7</x:v>
      </x:c>
    </x:row>
    <x:row r="21">
      <x:c r="A21" t="str">
        <x:v>Interest margin</x:v>
      </x:c>
      <x:c r="B21" t="str">
        <x:v>%</x:v>
      </x:c>
      <x:c r="C21" s="30" t="n">
        <x:v>0.0275</x:v>
      </x:c>
    </x:row>
    <x:row r="22">
      <x:c r="A22" t="str">
        <x:v>Base rate</x:v>
      </x:c>
      <x:c r="B22" t="str">
        <x:v>%</x:v>
      </x:c>
      <x:c r="C22" s="30" t="n">
        <x:v>0.035</x:v>
      </x:c>
    </x:row>
    <x:row r="23">
      <x:c r="A23" t="str">
        <x:v>Debt tenor</x:v>
      </x:c>
      <x:c r="B23" t="str">
        <x:v>Years</x:v>
      </x:c>
      <x:c r="C23" s="32" t="n">
        <x:v>17</x:v>
      </x:c>
    </x:row>
    <x:row r="24">
      <x:c r="A24" t="str">
        <x:v>Minimum DSCR</x:v>
      </x:c>
      <x:c r="B24" t="str">
        <x:v>x</x:v>
      </x:c>
      <x:c r="C24" s="36" t="n">
        <x:v>1.25</x:v>
      </x:c>
    </x:row>
    <x:row r="25">
      <x:c r="A25" t="str">
        <x:v>Tax rate</x:v>
      </x:c>
      <x:c r="B25" t="str">
        <x:v>%</x:v>
      </x:c>
      <x:c r="C25" s="30" t="n">
        <x:v>0.17</x:v>
      </x:c>
    </x:row>
  </x:sheetData>
  <x:mergeCells>
    <x:mergeCell ref="A1:F1"/>
    <x:mergeCell ref="A3:F3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 ht="26" customHeight="1">
      <x:c r="A1" s="5" t="str">
        <x:v>Construction and Capex Schedule</x:v>
      </x:c>
    </x:row>
    <x:row r="3">
      <x:c r="A3" s="20" t="str">
        <x:v>Metric</x:v>
      </x:c>
      <x:c r="B3" s="20" t="n">
        <x:v>2027</x:v>
      </x:c>
      <x:c r="C3" s="20" t="n">
        <x:v>2028</x:v>
      </x:c>
      <x:c r="D3" s="20" t="n">
        <x:v>2029</x:v>
      </x:c>
      <x:c r="E3" s="20" t="n">
        <x:v>2030</x:v>
      </x:c>
      <x:c r="F3" s="20" t="n">
        <x:v>2031</x:v>
      </x:c>
      <x:c r="G3" s="20" t="n">
        <x:v>2032</x:v>
      </x:c>
      <x:c r="H3" s="20" t="n">
        <x:v>2033</x:v>
      </x:c>
      <x:c r="I3" s="20" t="n">
        <x:v>2034</x:v>
      </x:c>
      <x:c r="J3" s="20" t="n">
        <x:v>2035</x:v>
      </x:c>
      <x:c r="K3" s="20" t="n">
        <x:v>2036</x:v>
      </x:c>
      <x:c r="L3" s="20" t="n">
        <x:v>2037</x:v>
      </x:c>
      <x:c r="M3" s="20" t="n">
        <x:v>2038</x:v>
      </x:c>
      <x:c r="N3" s="20" t="n">
        <x:v>2039</x:v>
      </x:c>
      <x:c r="O3" s="20" t="n">
        <x:v>2040</x:v>
      </x:c>
      <x:c r="P3" s="20" t="n">
        <x:v>2041</x:v>
      </x:c>
      <x:c r="Q3" s="20" t="n">
        <x:v>2042</x:v>
      </x:c>
      <x:c r="R3" s="20" t="n">
        <x:v>2043</x:v>
      </x:c>
      <x:c r="S3" s="20" t="n">
        <x:v>2044</x:v>
      </x:c>
      <x:c r="T3" s="20" t="n">
        <x:v>2045</x:v>
      </x:c>
      <x:c r="U3" s="20" t="n">
        <x:v>2046</x:v>
      </x:c>
      <x:c r="V3" s="20" t="n">
        <x:v>2047</x:v>
      </x:c>
      <x:c r="W3" s="20" t="n">
        <x:v>2048</x:v>
      </x:c>
      <x:c r="X3" s="20" t="n">
        <x:v>2049</x:v>
      </x:c>
      <x:c r="Y3" s="20" t="n">
        <x:v>2050</x:v>
      </x:c>
      <x:c r="Z3" s="20" t="n">
        <x:v>2051</x:v>
      </x:c>
      <x:c r="AA3" s="20" t="n">
        <x:v>2052</x:v>
      </x:c>
      <x:c r="AB3" s="20" t="n">
        <x:v>2053</x:v>
      </x:c>
    </x:row>
    <x:row r="4">
      <x:c r="A4" t="str">
        <x:v>Construction %</x:v>
      </x:c>
      <x:c r="B4" s="38" t="n">
        <x:v>0.45</x:v>
      </x:c>
      <x:c r="C4" s="38" t="n">
        <x:v>0.55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</x:row>
    <x:row r="5">
      <x:c r="A5" t="str">
        <x:v>Base EPC spend</x:v>
      </x:c>
      <x:c r="B5" s="42" t="n">
        <x:f>'Project Setup'!$C$14*B$4</x:f>
        <x:v>0.03375</x:v>
      </x:c>
      <x:c r="C5" s="42" t="n">
        <x:f>'Project Setup'!$C$14*C$4</x:f>
        <x:v>0.04125</x:v>
      </x:c>
      <x:c r="D5" s="42" t="n">
        <x:f>'Project Setup'!$C$14*D$4</x:f>
        <x:v>0</x:v>
      </x:c>
      <x:c r="E5" s="42" t="n">
        <x:f>'Project Setup'!$C$14*E$4</x:f>
        <x:v>0</x:v>
      </x:c>
      <x:c r="F5" s="42" t="n">
        <x:f>'Project Setup'!$C$14*F$4</x:f>
        <x:v>0</x:v>
      </x:c>
      <x:c r="G5" s="42" t="n">
        <x:f>'Project Setup'!$C$14*G$4</x:f>
        <x:v>0</x:v>
      </x:c>
      <x:c r="H5" s="42" t="n">
        <x:f>'Project Setup'!$C$14*H$4</x:f>
        <x:v>0</x:v>
      </x:c>
      <x:c r="I5" s="42" t="n">
        <x:f>'Project Setup'!$C$14*I$4</x:f>
        <x:v>0</x:v>
      </x:c>
      <x:c r="J5" s="42" t="n">
        <x:f>'Project Setup'!$C$14*J$4</x:f>
        <x:v>0</x:v>
      </x:c>
      <x:c r="K5" s="42" t="n">
        <x:f>'Project Setup'!$C$14*K$4</x:f>
        <x:v>0</x:v>
      </x:c>
      <x:c r="L5" s="42" t="n">
        <x:f>'Project Setup'!$C$14*L$4</x:f>
        <x:v>0</x:v>
      </x:c>
      <x:c r="M5" s="42" t="n">
        <x:f>'Project Setup'!$C$14*M$4</x:f>
        <x:v>0</x:v>
      </x:c>
      <x:c r="N5" s="42" t="n">
        <x:f>'Project Setup'!$C$14*N$4</x:f>
        <x:v>0</x:v>
      </x:c>
      <x:c r="O5" s="42" t="n">
        <x:f>'Project Setup'!$C$14*O$4</x:f>
        <x:v>0</x:v>
      </x:c>
      <x:c r="P5" s="42" t="n">
        <x:f>'Project Setup'!$C$14*P$4</x:f>
        <x:v>0</x:v>
      </x:c>
      <x:c r="Q5" s="42" t="n">
        <x:f>'Project Setup'!$C$14*Q$4</x:f>
        <x:v>0</x:v>
      </x:c>
      <x:c r="R5" s="42" t="n">
        <x:f>'Project Setup'!$C$14*R$4</x:f>
        <x:v>0</x:v>
      </x:c>
      <x:c r="S5" s="42" t="n">
        <x:f>'Project Setup'!$C$14*S$4</x:f>
        <x:v>0</x:v>
      </x:c>
      <x:c r="T5" s="42" t="n">
        <x:f>'Project Setup'!$C$14*T$4</x:f>
        <x:v>0</x:v>
      </x:c>
      <x:c r="U5" s="42" t="n">
        <x:f>'Project Setup'!$C$14*U$4</x:f>
        <x:v>0</x:v>
      </x:c>
      <x:c r="V5" s="42" t="n">
        <x:f>'Project Setup'!$C$14*V$4</x:f>
        <x:v>0</x:v>
      </x:c>
      <x:c r="W5" s="42" t="n">
        <x:f>'Project Setup'!$C$14*W$4</x:f>
        <x:v>0</x:v>
      </x:c>
      <x:c r="X5" s="42" t="n">
        <x:f>'Project Setup'!$C$14*X$4</x:f>
        <x:v>0</x:v>
      </x:c>
      <x:c r="Y5" s="42" t="n">
        <x:f>'Project Setup'!$C$14*Y$4</x:f>
        <x:v>0</x:v>
      </x:c>
      <x:c r="Z5" s="42" t="n">
        <x:f>'Project Setup'!$C$14*Z$4</x:f>
        <x:v>0</x:v>
      </x:c>
      <x:c r="AA5" s="42" t="n">
        <x:f>'Project Setup'!$C$14*AA$4</x:f>
        <x:v>0</x:v>
      </x:c>
      <x:c r="AB5" s="42" t="n">
        <x:f>'Project Setup'!$C$14*AB$4</x:f>
        <x:v>0</x:v>
      </x:c>
    </x:row>
    <x:row r="6">
      <x:c r="A6" t="str">
        <x:v>Contingency</x:v>
      </x:c>
      <x:c r="B6" s="42" t="n">
        <x:f>B5*'Project Setup'!$C$15</x:f>
        <x:v>0.10800000000000001</x:v>
      </x:c>
      <x:c r="C6" s="42" t="n">
        <x:f>C5*'Project Setup'!$C$15</x:f>
        <x:v>0.132</x:v>
      </x:c>
      <x:c r="D6" s="42" t="n">
        <x:f>D5*'Project Setup'!$C$15</x:f>
        <x:v>0</x:v>
      </x:c>
      <x:c r="E6" s="42" t="n">
        <x:f>E5*'Project Setup'!$C$15</x:f>
        <x:v>0</x:v>
      </x:c>
      <x:c r="F6" s="42" t="n">
        <x:f>F5*'Project Setup'!$C$15</x:f>
        <x:v>0</x:v>
      </x:c>
      <x:c r="G6" s="42" t="n">
        <x:f>G5*'Project Setup'!$C$15</x:f>
        <x:v>0</x:v>
      </x:c>
      <x:c r="H6" s="42" t="n">
        <x:f>H5*'Project Setup'!$C$15</x:f>
        <x:v>0</x:v>
      </x:c>
      <x:c r="I6" s="42" t="n">
        <x:f>I5*'Project Setup'!$C$15</x:f>
        <x:v>0</x:v>
      </x:c>
      <x:c r="J6" s="42" t="n">
        <x:f>J5*'Project Setup'!$C$15</x:f>
        <x:v>0</x:v>
      </x:c>
      <x:c r="K6" s="42" t="n">
        <x:f>K5*'Project Setup'!$C$15</x:f>
        <x:v>0</x:v>
      </x:c>
      <x:c r="L6" s="42" t="n">
        <x:f>L5*'Project Setup'!$C$15</x:f>
        <x:v>0</x:v>
      </x:c>
      <x:c r="M6" s="42" t="n">
        <x:f>M5*'Project Setup'!$C$15</x:f>
        <x:v>0</x:v>
      </x:c>
      <x:c r="N6" s="42" t="n">
        <x:f>N5*'Project Setup'!$C$15</x:f>
        <x:v>0</x:v>
      </x:c>
      <x:c r="O6" s="42" t="n">
        <x:f>O5*'Project Setup'!$C$15</x:f>
        <x:v>0</x:v>
      </x:c>
      <x:c r="P6" s="42" t="n">
        <x:f>P5*'Project Setup'!$C$15</x:f>
        <x:v>0</x:v>
      </x:c>
      <x:c r="Q6" s="42" t="n">
        <x:f>Q5*'Project Setup'!$C$15</x:f>
        <x:v>0</x:v>
      </x:c>
      <x:c r="R6" s="42" t="n">
        <x:f>R5*'Project Setup'!$C$15</x:f>
        <x:v>0</x:v>
      </x:c>
      <x:c r="S6" s="42" t="n">
        <x:f>S5*'Project Setup'!$C$15</x:f>
        <x:v>0</x:v>
      </x:c>
      <x:c r="T6" s="42" t="n">
        <x:f>T5*'Project Setup'!$C$15</x:f>
        <x:v>0</x:v>
      </x:c>
      <x:c r="U6" s="42" t="n">
        <x:f>U5*'Project Setup'!$C$15</x:f>
        <x:v>0</x:v>
      </x:c>
      <x:c r="V6" s="42" t="n">
        <x:f>V5*'Project Setup'!$C$15</x:f>
        <x:v>0</x:v>
      </x:c>
      <x:c r="W6" s="42" t="n">
        <x:f>W5*'Project Setup'!$C$15</x:f>
        <x:v>0</x:v>
      </x:c>
      <x:c r="X6" s="42" t="n">
        <x:f>X5*'Project Setup'!$C$15</x:f>
        <x:v>0</x:v>
      </x:c>
      <x:c r="Y6" s="42" t="n">
        <x:f>Y5*'Project Setup'!$C$15</x:f>
        <x:v>0</x:v>
      </x:c>
      <x:c r="Z6" s="42" t="n">
        <x:f>Z5*'Project Setup'!$C$15</x:f>
        <x:v>0</x:v>
      </x:c>
      <x:c r="AA6" s="42" t="n">
        <x:f>AA5*'Project Setup'!$C$15</x:f>
        <x:v>0</x:v>
      </x:c>
      <x:c r="AB6" s="42" t="n">
        <x:f>AB5*'Project Setup'!$C$15</x:f>
        <x:v>0</x:v>
      </x:c>
    </x:row>
    <x:row r="7">
      <x:c r="A7" t="str">
        <x:v>Total capex</x:v>
      </x:c>
      <x:c r="B7" s="42" t="n">
        <x:f>B5+B6</x:f>
        <x:v>0.14175000000000001</x:v>
      </x:c>
      <x:c r="C7" s="42" t="n">
        <x:f>C5+C6</x:f>
        <x:v>0.17325000000000002</x:v>
      </x:c>
      <x:c r="D7" s="42" t="n">
        <x:f>D5+D6</x:f>
        <x:v>0</x:v>
      </x:c>
      <x:c r="E7" s="42" t="n">
        <x:f>E5+E6</x:f>
        <x:v>0</x:v>
      </x:c>
      <x:c r="F7" s="42" t="n">
        <x:f>F5+F6</x:f>
        <x:v>0</x:v>
      </x:c>
      <x:c r="G7" s="42" t="n">
        <x:f>G5+G6</x:f>
        <x:v>0</x:v>
      </x:c>
      <x:c r="H7" s="42" t="n">
        <x:f>H5+H6</x:f>
        <x:v>0</x:v>
      </x:c>
      <x:c r="I7" s="42" t="n">
        <x:f>I5+I6</x:f>
        <x:v>0</x:v>
      </x:c>
      <x:c r="J7" s="42" t="n">
        <x:f>J5+J6</x:f>
        <x:v>0</x:v>
      </x:c>
      <x:c r="K7" s="42" t="n">
        <x:f>K5+K6</x:f>
        <x:v>0</x:v>
      </x:c>
      <x:c r="L7" s="42" t="n">
        <x:f>L5+L6</x:f>
        <x:v>0</x:v>
      </x:c>
      <x:c r="M7" s="42" t="n">
        <x:f>M5+M6</x:f>
        <x:v>0</x:v>
      </x:c>
      <x:c r="N7" s="42" t="n">
        <x:f>N5+N6</x:f>
        <x:v>0</x:v>
      </x:c>
      <x:c r="O7" s="42" t="n">
        <x:f>O5+O6</x:f>
        <x:v>0</x:v>
      </x:c>
      <x:c r="P7" s="42" t="n">
        <x:f>P5+P6</x:f>
        <x:v>0</x:v>
      </x:c>
      <x:c r="Q7" s="42" t="n">
        <x:f>Q5+Q6</x:f>
        <x:v>0</x:v>
      </x:c>
      <x:c r="R7" s="42" t="n">
        <x:f>R5+R6</x:f>
        <x:v>0</x:v>
      </x:c>
      <x:c r="S7" s="42" t="n">
        <x:f>S5+S6</x:f>
        <x:v>0</x:v>
      </x:c>
      <x:c r="T7" s="42" t="n">
        <x:f>T5+T6</x:f>
        <x:v>0</x:v>
      </x:c>
      <x:c r="U7" s="42" t="n">
        <x:f>U5+U6</x:f>
        <x:v>0</x:v>
      </x:c>
      <x:c r="V7" s="42" t="n">
        <x:f>V5+V6</x:f>
        <x:v>0</x:v>
      </x:c>
      <x:c r="W7" s="42" t="n">
        <x:f>W5+W6</x:f>
        <x:v>0</x:v>
      </x:c>
      <x:c r="X7" s="42" t="n">
        <x:f>X5+X6</x:f>
        <x:v>0</x:v>
      </x:c>
      <x:c r="Y7" s="42" t="n">
        <x:f>Y5+Y6</x:f>
        <x:v>0</x:v>
      </x:c>
      <x:c r="Z7" s="42" t="n">
        <x:f>Z5+Z6</x:f>
        <x:v>0</x:v>
      </x:c>
      <x:c r="AA7" s="42" t="n">
        <x:f>AA5+AA6</x:f>
        <x:v>0</x:v>
      </x:c>
      <x:c r="AB7" s="42" t="n">
        <x:f>AB5+AB6</x:f>
        <x:v>0</x:v>
      </x:c>
    </x:row>
    <x:row r="8">
      <x:c r="A8" t="str">
        <x:v>Cumulative capex</x:v>
      </x:c>
      <x:c r="B8" s="42" t="n">
        <x:f>B7</x:f>
        <x:v>0.14175000000000001</x:v>
      </x:c>
      <x:c r="C8" s="42" t="n">
        <x:f>B8+C7</x:f>
        <x:v>0.31500000000000006</x:v>
      </x:c>
      <x:c r="D8" s="42" t="n">
        <x:f>C8+D7</x:f>
        <x:v>0.31500000000000006</x:v>
      </x:c>
      <x:c r="E8" s="42" t="n">
        <x:f>D8+E7</x:f>
        <x:v>0.31500000000000006</x:v>
      </x:c>
      <x:c r="F8" s="42" t="n">
        <x:f>E8+F7</x:f>
        <x:v>0.31500000000000006</x:v>
      </x:c>
      <x:c r="G8" s="42" t="n">
        <x:f>F8+G7</x:f>
        <x:v>0.31500000000000006</x:v>
      </x:c>
      <x:c r="H8" s="42" t="n">
        <x:f>G8+H7</x:f>
        <x:v>0.31500000000000006</x:v>
      </x:c>
      <x:c r="I8" s="42" t="n">
        <x:f>H8+I7</x:f>
        <x:v>0.31500000000000006</x:v>
      </x:c>
      <x:c r="J8" s="42" t="n">
        <x:f>I8+J7</x:f>
        <x:v>0.31500000000000006</x:v>
      </x:c>
      <x:c r="K8" s="42" t="n">
        <x:f>J8+K7</x:f>
        <x:v>0.31500000000000006</x:v>
      </x:c>
      <x:c r="L8" s="42" t="n">
        <x:f>K8+L7</x:f>
        <x:v>0.31500000000000006</x:v>
      </x:c>
      <x:c r="M8" s="42" t="n">
        <x:f>L8+M7</x:f>
        <x:v>0.31500000000000006</x:v>
      </x:c>
      <x:c r="N8" s="42" t="n">
        <x:f>M8+N7</x:f>
        <x:v>0.31500000000000006</x:v>
      </x:c>
      <x:c r="O8" s="42" t="n">
        <x:f>N8+O7</x:f>
        <x:v>0.31500000000000006</x:v>
      </x:c>
      <x:c r="P8" s="42" t="n">
        <x:f>O8+P7</x:f>
        <x:v>0.31500000000000006</x:v>
      </x:c>
      <x:c r="Q8" s="42" t="n">
        <x:f>P8+Q7</x:f>
        <x:v>0.31500000000000006</x:v>
      </x:c>
      <x:c r="R8" s="42" t="n">
        <x:f>Q8+R7</x:f>
        <x:v>0.31500000000000006</x:v>
      </x:c>
      <x:c r="S8" s="42" t="n">
        <x:f>R8+S7</x:f>
        <x:v>0.31500000000000006</x:v>
      </x:c>
      <x:c r="T8" s="42" t="n">
        <x:f>S8+T7</x:f>
        <x:v>0.31500000000000006</x:v>
      </x:c>
      <x:c r="U8" s="42" t="n">
        <x:f>T8+U7</x:f>
        <x:v>0.31500000000000006</x:v>
      </x:c>
      <x:c r="V8" s="42" t="n">
        <x:f>U8+V7</x:f>
        <x:v>0.31500000000000006</x:v>
      </x:c>
      <x:c r="W8" s="42" t="n">
        <x:f>V8+W7</x:f>
        <x:v>0.31500000000000006</x:v>
      </x:c>
      <x:c r="X8" s="42" t="n">
        <x:f>W8+X7</x:f>
        <x:v>0.31500000000000006</x:v>
      </x:c>
      <x:c r="Y8" s="42" t="n">
        <x:f>X8+Y7</x:f>
        <x:v>0.31500000000000006</x:v>
      </x:c>
      <x:c r="Z8" s="42" t="n">
        <x:f>Y8+Z7</x:f>
        <x:v>0.31500000000000006</x:v>
      </x:c>
      <x:c r="AA8" s="42" t="n">
        <x:f>Z8+AA7</x:f>
        <x:v>0.31500000000000006</x:v>
      </x:c>
      <x:c r="AB8" s="42" t="n">
        <x:f>AA8+AB7</x:f>
        <x:v>0.31500000000000006</x:v>
      </x:c>
    </x:row>
  </x:sheetData>
  <x:mergeCells>
    <x:mergeCell ref="A1:A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</x:cols>
  <x:sheetData>
    <x:row r="1" ht="26" customHeight="1">
      <x:c r="A1" s="5" t="str">
        <x:v>Generation and Revenue Forecast</x:v>
      </x:c>
    </x:row>
    <x:row r="3">
      <x:c r="A3" s="20" t="str">
        <x:v>Metric</x:v>
      </x:c>
      <x:c r="B3" s="20" t="n">
        <x:v>2027</x:v>
      </x:c>
      <x:c r="C3" s="20" t="n">
        <x:v>2028</x:v>
      </x:c>
      <x:c r="D3" s="20" t="n">
        <x:v>2029</x:v>
      </x:c>
      <x:c r="E3" s="20" t="n">
        <x:v>2030</x:v>
      </x:c>
      <x:c r="F3" s="20" t="n">
        <x:v>2031</x:v>
      </x:c>
      <x:c r="G3" s="20" t="n">
        <x:v>2032</x:v>
      </x:c>
      <x:c r="H3" s="20" t="n">
        <x:v>2033</x:v>
      </x:c>
      <x:c r="I3" s="20" t="n">
        <x:v>2034</x:v>
      </x:c>
      <x:c r="J3" s="20" t="n">
        <x:v>2035</x:v>
      </x:c>
      <x:c r="K3" s="20" t="n">
        <x:v>2036</x:v>
      </x:c>
      <x:c r="L3" s="20" t="n">
        <x:v>2037</x:v>
      </x:c>
      <x:c r="M3" s="20" t="n">
        <x:v>2038</x:v>
      </x:c>
      <x:c r="N3" s="20" t="n">
        <x:v>2039</x:v>
      </x:c>
      <x:c r="O3" s="20" t="n">
        <x:v>2040</x:v>
      </x:c>
      <x:c r="P3" s="20" t="n">
        <x:v>2041</x:v>
      </x:c>
      <x:c r="Q3" s="20" t="n">
        <x:v>2042</x:v>
      </x:c>
      <x:c r="R3" s="20" t="n">
        <x:v>2043</x:v>
      </x:c>
      <x:c r="S3" s="20" t="n">
        <x:v>2044</x:v>
      </x:c>
      <x:c r="T3" s="20" t="n">
        <x:v>2045</x:v>
      </x:c>
      <x:c r="U3" s="20" t="n">
        <x:v>2046</x:v>
      </x:c>
      <x:c r="V3" s="20" t="n">
        <x:v>2047</x:v>
      </x:c>
      <x:c r="W3" s="20" t="n">
        <x:v>2048</x:v>
      </x:c>
      <x:c r="X3" s="20" t="n">
        <x:v>2049</x:v>
      </x:c>
      <x:c r="Y3" s="20" t="n">
        <x:v>2050</x:v>
      </x:c>
      <x:c r="Z3" s="20" t="n">
        <x:v>2051</x:v>
      </x:c>
      <x:c r="AA3" s="20" t="n">
        <x:v>2052</x:v>
      </x:c>
      <x:c r="AB3" s="20" t="n">
        <x:v>2053</x:v>
      </x:c>
    </x:row>
    <x:row r="4">
      <x:c r="A4" t="str">
        <x:v>Operating flag</x:v>
      </x:c>
      <x:c r="B4" s="42" t="n">
        <x:f>IF(B$3&gt;='Project Setup'!$C$6+'Project Setup'!$C$7,1,0)</x:f>
        <x:v>0</x:v>
      </x:c>
      <x:c r="C4" s="42" t="n">
        <x:f>IF(C$3&gt;='Project Setup'!$C$6+'Project Setup'!$C$7,1,0)</x:f>
        <x:v>0</x:v>
      </x:c>
      <x:c r="D4" s="42" t="n">
        <x:f>IF(D$3&gt;='Project Setup'!$C$6+'Project Setup'!$C$7,1,0)</x:f>
        <x:v>1</x:v>
      </x:c>
      <x:c r="E4" s="42" t="n">
        <x:f>IF(E$3&gt;='Project Setup'!$C$6+'Project Setup'!$C$7,1,0)</x:f>
        <x:v>1</x:v>
      </x:c>
      <x:c r="F4" s="42" t="n">
        <x:f>IF(F$3&gt;='Project Setup'!$C$6+'Project Setup'!$C$7,1,0)</x:f>
        <x:v>1</x:v>
      </x:c>
      <x:c r="G4" s="42" t="n">
        <x:f>IF(G$3&gt;='Project Setup'!$C$6+'Project Setup'!$C$7,1,0)</x:f>
        <x:v>1</x:v>
      </x:c>
      <x:c r="H4" s="42" t="n">
        <x:f>IF(H$3&gt;='Project Setup'!$C$6+'Project Setup'!$C$7,1,0)</x:f>
        <x:v>1</x:v>
      </x:c>
      <x:c r="I4" s="42" t="n">
        <x:f>IF(I$3&gt;='Project Setup'!$C$6+'Project Setup'!$C$7,1,0)</x:f>
        <x:v>1</x:v>
      </x:c>
      <x:c r="J4" s="42" t="n">
        <x:f>IF(J$3&gt;='Project Setup'!$C$6+'Project Setup'!$C$7,1,0)</x:f>
        <x:v>1</x:v>
      </x:c>
      <x:c r="K4" s="42" t="n">
        <x:f>IF(K$3&gt;='Project Setup'!$C$6+'Project Setup'!$C$7,1,0)</x:f>
        <x:v>1</x:v>
      </x:c>
      <x:c r="L4" s="42" t="n">
        <x:f>IF(L$3&gt;='Project Setup'!$C$6+'Project Setup'!$C$7,1,0)</x:f>
        <x:v>1</x:v>
      </x:c>
      <x:c r="M4" s="42" t="n">
        <x:f>IF(M$3&gt;='Project Setup'!$C$6+'Project Setup'!$C$7,1,0)</x:f>
        <x:v>1</x:v>
      </x:c>
      <x:c r="N4" s="42" t="n">
        <x:f>IF(N$3&gt;='Project Setup'!$C$6+'Project Setup'!$C$7,1,0)</x:f>
        <x:v>1</x:v>
      </x:c>
      <x:c r="O4" s="42" t="n">
        <x:f>IF(O$3&gt;='Project Setup'!$C$6+'Project Setup'!$C$7,1,0)</x:f>
        <x:v>1</x:v>
      </x:c>
      <x:c r="P4" s="42" t="n">
        <x:f>IF(P$3&gt;='Project Setup'!$C$6+'Project Setup'!$C$7,1,0)</x:f>
        <x:v>1</x:v>
      </x:c>
      <x:c r="Q4" s="42" t="n">
        <x:f>IF(Q$3&gt;='Project Setup'!$C$6+'Project Setup'!$C$7,1,0)</x:f>
        <x:v>1</x:v>
      </x:c>
      <x:c r="R4" s="42" t="n">
        <x:f>IF(R$3&gt;='Project Setup'!$C$6+'Project Setup'!$C$7,1,0)</x:f>
        <x:v>1</x:v>
      </x:c>
      <x:c r="S4" s="42" t="n">
        <x:f>IF(S$3&gt;='Project Setup'!$C$6+'Project Setup'!$C$7,1,0)</x:f>
        <x:v>1</x:v>
      </x:c>
      <x:c r="T4" s="42" t="n">
        <x:f>IF(T$3&gt;='Project Setup'!$C$6+'Project Setup'!$C$7,1,0)</x:f>
        <x:v>1</x:v>
      </x:c>
      <x:c r="U4" s="42" t="n">
        <x:f>IF(U$3&gt;='Project Setup'!$C$6+'Project Setup'!$C$7,1,0)</x:f>
        <x:v>1</x:v>
      </x:c>
      <x:c r="V4" s="42" t="n">
        <x:f>IF(V$3&gt;='Project Setup'!$C$6+'Project Setup'!$C$7,1,0)</x:f>
        <x:v>1</x:v>
      </x:c>
      <x:c r="W4" s="42" t="n">
        <x:f>IF(W$3&gt;='Project Setup'!$C$6+'Project Setup'!$C$7,1,0)</x:f>
        <x:v>1</x:v>
      </x:c>
      <x:c r="X4" s="42" t="n">
        <x:f>IF(X$3&gt;='Project Setup'!$C$6+'Project Setup'!$C$7,1,0)</x:f>
        <x:v>1</x:v>
      </x:c>
      <x:c r="Y4" s="42" t="n">
        <x:f>IF(Y$3&gt;='Project Setup'!$C$6+'Project Setup'!$C$7,1,0)</x:f>
        <x:v>1</x:v>
      </x:c>
      <x:c r="Z4" s="42" t="n">
        <x:f>IF(Z$3&gt;='Project Setup'!$C$6+'Project Setup'!$C$7,1,0)</x:f>
        <x:v>1</x:v>
      </x:c>
      <x:c r="AA4" s="42" t="n">
        <x:f>IF(AA$3&gt;='Project Setup'!$C$6+'Project Setup'!$C$7,1,0)</x:f>
        <x:v>1</x:v>
      </x:c>
      <x:c r="AB4" s="42" t="n">
        <x:f>IF(AB$3&gt;='Project Setup'!$C$6+'Project Setup'!$C$7,1,0)</x:f>
        <x:v>1</x:v>
      </x:c>
    </x:row>
    <x:row r="5">
      <x:c r="A5" t="str">
        <x:v>Net generation (GWh)</x:v>
      </x:c>
      <x:c r="B5" s="42" t="n">
        <x:f>B4*'Project Setup'!$C$5*8760*'Project Setup'!$C$10/1000*(1-'Project Setup'!$C$11)^MAX(0,B$3-('Project Setup'!$C$6+'Project Setup'!$C$7))</x:f>
        <x:v>0</x:v>
      </x:c>
      <x:c r="C5" s="42" t="n">
        <x:f>C4*'Project Setup'!$C$5*8760*'Project Setup'!$C$10/1000*(1-'Project Setup'!$C$11)^MAX(0,C$3-('Project Setup'!$C$6+'Project Setup'!$C$7))</x:f>
        <x:v>0</x:v>
      </x:c>
      <x:c r="D5" s="42" t="n">
        <x:f>D4*'Project Setup'!$C$5*8760*'Project Setup'!$C$10/1000*(1-'Project Setup'!$C$11)^MAX(0,D$3-('Project Setup'!$C$6+'Project Setup'!$C$7))</x:f>
        <x:v>28.382399999999997</x:v>
      </x:c>
      <x:c r="E5" s="42" t="n">
        <x:f>E4*'Project Setup'!$C$5*8760*'Project Setup'!$C$10/1000*(1-'Project Setup'!$C$11)^MAX(0,E$3-('Project Setup'!$C$6+'Project Setup'!$C$7))</x:f>
        <x:v>20.577239999999996</x:v>
      </x:c>
      <x:c r="F5" s="42" t="n">
        <x:f>F4*'Project Setup'!$C$5*8760*'Project Setup'!$C$10/1000*(1-'Project Setup'!$C$11)^MAX(0,F$3-('Project Setup'!$C$6+'Project Setup'!$C$7))</x:f>
        <x:v>14.918498999999999</x:v>
      </x:c>
      <x:c r="G5" s="42" t="n">
        <x:f>G4*'Project Setup'!$C$5*8760*'Project Setup'!$C$10/1000*(1-'Project Setup'!$C$11)^MAX(0,G$3-('Project Setup'!$C$6+'Project Setup'!$C$7))</x:f>
        <x:v>10.815911774999998</x:v>
      </x:c>
      <x:c r="H5" s="42" t="n">
        <x:f>H4*'Project Setup'!$C$5*8760*'Project Setup'!$C$10/1000*(1-'Project Setup'!$C$11)^MAX(0,H$3-('Project Setup'!$C$6+'Project Setup'!$C$7))</x:f>
        <x:v>7.841536036874999</x:v>
      </x:c>
      <x:c r="I5" s="42" t="n">
        <x:f>I4*'Project Setup'!$C$5*8760*'Project Setup'!$C$10/1000*(1-'Project Setup'!$C$11)^MAX(0,I$3-('Project Setup'!$C$6+'Project Setup'!$C$7))</x:f>
        <x:v>5.685113626734374</x:v>
      </x:c>
      <x:c r="J5" s="42" t="n">
        <x:f>J4*'Project Setup'!$C$5*8760*'Project Setup'!$C$10/1000*(1-'Project Setup'!$C$11)^MAX(0,J$3-('Project Setup'!$C$6+'Project Setup'!$C$7))</x:f>
        <x:v>4.121707379382421</x:v>
      </x:c>
      <x:c r="K5" s="42" t="n">
        <x:f>K4*'Project Setup'!$C$5*8760*'Project Setup'!$C$10/1000*(1-'Project Setup'!$C$11)^MAX(0,K$3-('Project Setup'!$C$6+'Project Setup'!$C$7))</x:f>
        <x:v>2.9882378500522555</x:v>
      </x:c>
      <x:c r="L5" s="42" t="n">
        <x:f>L4*'Project Setup'!$C$5*8760*'Project Setup'!$C$10/1000*(1-'Project Setup'!$C$11)^MAX(0,L$3-('Project Setup'!$C$6+'Project Setup'!$C$7))</x:f>
        <x:v>2.166472441287885</x:v>
      </x:c>
      <x:c r="M5" s="42" t="n">
        <x:f>M4*'Project Setup'!$C$5*8760*'Project Setup'!$C$10/1000*(1-'Project Setup'!$C$11)^MAX(0,M$3-('Project Setup'!$C$6+'Project Setup'!$C$7))</x:f>
        <x:v>1.5706925199337167</x:v>
      </x:c>
      <x:c r="N5" s="42" t="n">
        <x:f>N4*'Project Setup'!$C$5*8760*'Project Setup'!$C$10/1000*(1-'Project Setup'!$C$11)^MAX(0,N$3-('Project Setup'!$C$6+'Project Setup'!$C$7))</x:f>
        <x:v>1.1387520769519446</x:v>
      </x:c>
      <x:c r="O5" s="42" t="n">
        <x:f>O4*'Project Setup'!$C$5*8760*'Project Setup'!$C$10/1000*(1-'Project Setup'!$C$11)^MAX(0,O$3-('Project Setup'!$C$6+'Project Setup'!$C$7))</x:f>
        <x:v>0.8255952557901599</x:v>
      </x:c>
      <x:c r="P5" s="42" t="n">
        <x:f>P4*'Project Setup'!$C$5*8760*'Project Setup'!$C$10/1000*(1-'Project Setup'!$C$11)^MAX(0,P$3-('Project Setup'!$C$6+'Project Setup'!$C$7))</x:f>
        <x:v>0.5985565604478659</x:v>
      </x:c>
      <x:c r="Q5" s="42" t="n">
        <x:f>Q4*'Project Setup'!$C$5*8760*'Project Setup'!$C$10/1000*(1-'Project Setup'!$C$11)^MAX(0,Q$3-('Project Setup'!$C$6+'Project Setup'!$C$7))</x:f>
        <x:v>0.4339535063247027</x:v>
      </x:c>
      <x:c r="R5" s="42" t="n">
        <x:f>R4*'Project Setup'!$C$5*8760*'Project Setup'!$C$10/1000*(1-'Project Setup'!$C$11)^MAX(0,R$3-('Project Setup'!$C$6+'Project Setup'!$C$7))</x:f>
        <x:v>0.31461629208540953</x:v>
      </x:c>
      <x:c r="S5" s="42" t="n">
        <x:f>S4*'Project Setup'!$C$5*8760*'Project Setup'!$C$10/1000*(1-'Project Setup'!$C$11)^MAX(0,S$3-('Project Setup'!$C$6+'Project Setup'!$C$7))</x:f>
        <x:v>0.2280968117619219</x:v>
      </x:c>
      <x:c r="T5" s="42" t="n">
        <x:f>T4*'Project Setup'!$C$5*8760*'Project Setup'!$C$10/1000*(1-'Project Setup'!$C$11)^MAX(0,T$3-('Project Setup'!$C$6+'Project Setup'!$C$7))</x:f>
        <x:v>0.16537018852739338</x:v>
      </x:c>
      <x:c r="U5" s="42" t="n">
        <x:f>U4*'Project Setup'!$C$5*8760*'Project Setup'!$C$10/1000*(1-'Project Setup'!$C$11)^MAX(0,U$3-('Project Setup'!$C$6+'Project Setup'!$C$7))</x:f>
        <x:v>0.11989338668236021</x:v>
      </x:c>
      <x:c r="V5" s="42" t="n">
        <x:f>V4*'Project Setup'!$C$5*8760*'Project Setup'!$C$10/1000*(1-'Project Setup'!$C$11)^MAX(0,V$3-('Project Setup'!$C$6+'Project Setup'!$C$7))</x:f>
        <x:v>0.08692270534471115</x:v>
      </x:c>
      <x:c r="W5" s="42" t="n">
        <x:f>W4*'Project Setup'!$C$5*8760*'Project Setup'!$C$10/1000*(1-'Project Setup'!$C$11)^MAX(0,W$3-('Project Setup'!$C$6+'Project Setup'!$C$7))</x:f>
        <x:v>0.06301896137491557</x:v>
      </x:c>
      <x:c r="X5" s="42" t="n">
        <x:f>X4*'Project Setup'!$C$5*8760*'Project Setup'!$C$10/1000*(1-'Project Setup'!$C$11)^MAX(0,X$3-('Project Setup'!$C$6+'Project Setup'!$C$7))</x:f>
        <x:v>0.045688746996813794</x:v>
      </x:c>
      <x:c r="Y5" s="42" t="n">
        <x:f>Y4*'Project Setup'!$C$5*8760*'Project Setup'!$C$10/1000*(1-'Project Setup'!$C$11)^MAX(0,Y$3-('Project Setup'!$C$6+'Project Setup'!$C$7))</x:f>
        <x:v>0.03312434157269</x:v>
      </x:c>
      <x:c r="Z5" s="42" t="n">
        <x:f>Z4*'Project Setup'!$C$5*8760*'Project Setup'!$C$10/1000*(1-'Project Setup'!$C$11)^MAX(0,Z$3-('Project Setup'!$C$6+'Project Setup'!$C$7))</x:f>
        <x:v>0.02401514764020025</x:v>
      </x:c>
      <x:c r="AA5" s="42" t="n">
        <x:f>AA4*'Project Setup'!$C$5*8760*'Project Setup'!$C$10/1000*(1-'Project Setup'!$C$11)^MAX(0,AA$3-('Project Setup'!$C$6+'Project Setup'!$C$7))</x:f>
        <x:v>0.017410982039145182</x:v>
      </x:c>
      <x:c r="AB5" s="42" t="n">
        <x:f>AB4*'Project Setup'!$C$5*8760*'Project Setup'!$C$10/1000*(1-'Project Setup'!$C$11)^MAX(0,AB$3-('Project Setup'!$C$6+'Project Setup'!$C$7))</x:f>
        <x:v>0.012622961978380257</x:v>
      </x:c>
    </x:row>
    <x:row r="6">
      <x:c r="A6" t="str">
        <x:v>Power price ($/MWh)</x:v>
      </x:c>
      <x:c r="B6" s="42" t="n">
        <x:f>'Project Setup'!$C$9*(1+'Project Setup'!$C$10)^MAX(0,B$3-('Project Setup'!$C$6+'Project Setup'!$C$7))</x:f>
        <x:v>62</x:v>
      </x:c>
      <x:c r="C6" s="42" t="n">
        <x:f>'Project Setup'!$C$9*(1+'Project Setup'!$C$10)^MAX(0,C$3-('Project Setup'!$C$6+'Project Setup'!$C$7))</x:f>
        <x:v>62</x:v>
      </x:c>
      <x:c r="D6" s="42" t="n">
        <x:f>'Project Setup'!$C$9*(1+'Project Setup'!$C$10)^MAX(0,D$3-('Project Setup'!$C$6+'Project Setup'!$C$7))</x:f>
        <x:v>62</x:v>
      </x:c>
      <x:c r="E6" s="42" t="n">
        <x:f>'Project Setup'!$C$9*(1+'Project Setup'!$C$10)^MAX(0,E$3-('Project Setup'!$C$6+'Project Setup'!$C$7))</x:f>
        <x:v>63.116</x:v>
      </x:c>
      <x:c r="F6" s="42" t="n">
        <x:f>'Project Setup'!$C$9*(1+'Project Setup'!$C$10)^MAX(0,F$3-('Project Setup'!$C$6+'Project Setup'!$C$7))</x:f>
        <x:v>64.252088</x:v>
      </x:c>
      <x:c r="G6" s="42" t="n">
        <x:f>'Project Setup'!$C$9*(1+'Project Setup'!$C$10)^MAX(0,G$3-('Project Setup'!$C$6+'Project Setup'!$C$7))</x:f>
        <x:v>65.408625584</x:v>
      </x:c>
      <x:c r="H6" s="42" t="n">
        <x:f>'Project Setup'!$C$9*(1+'Project Setup'!$C$10)^MAX(0,H$3-('Project Setup'!$C$6+'Project Setup'!$C$7))</x:f>
        <x:v>66.58598084451201</x:v>
      </x:c>
      <x:c r="I6" s="42" t="n">
        <x:f>'Project Setup'!$C$9*(1+'Project Setup'!$C$10)^MAX(0,I$3-('Project Setup'!$C$6+'Project Setup'!$C$7))</x:f>
        <x:v>67.78452849971322</x:v>
      </x:c>
      <x:c r="J6" s="42" t="n">
        <x:f>'Project Setup'!$C$9*(1+'Project Setup'!$C$10)^MAX(0,J$3-('Project Setup'!$C$6+'Project Setup'!$C$7))</x:f>
        <x:v>69.00465001270805</x:v>
      </x:c>
      <x:c r="K6" s="42" t="n">
        <x:f>'Project Setup'!$C$9*(1+'Project Setup'!$C$10)^MAX(0,K$3-('Project Setup'!$C$6+'Project Setup'!$C$7))</x:f>
        <x:v>70.24673371293682</x:v>
      </x:c>
      <x:c r="L6" s="42" t="n">
        <x:f>'Project Setup'!$C$9*(1+'Project Setup'!$C$10)^MAX(0,L$3-('Project Setup'!$C$6+'Project Setup'!$C$7))</x:f>
        <x:v>71.51117491976967</x:v>
      </x:c>
      <x:c r="M6" s="42" t="n">
        <x:f>'Project Setup'!$C$9*(1+'Project Setup'!$C$10)^MAX(0,M$3-('Project Setup'!$C$6+'Project Setup'!$C$7))</x:f>
        <x:v>72.79837606832552</x:v>
      </x:c>
      <x:c r="N6" s="42" t="n">
        <x:f>'Project Setup'!$C$9*(1+'Project Setup'!$C$10)^MAX(0,N$3-('Project Setup'!$C$6+'Project Setup'!$C$7))</x:f>
        <x:v>74.10874683755539</x:v>
      </x:c>
      <x:c r="O6" s="42" t="n">
        <x:f>'Project Setup'!$C$9*(1+'Project Setup'!$C$10)^MAX(0,O$3-('Project Setup'!$C$6+'Project Setup'!$C$7))</x:f>
        <x:v>75.44270428063138</x:v>
      </x:c>
      <x:c r="P6" s="42" t="n">
        <x:f>'Project Setup'!$C$9*(1+'Project Setup'!$C$10)^MAX(0,P$3-('Project Setup'!$C$6+'Project Setup'!$C$7))</x:f>
        <x:v>76.80067295768274</x:v>
      </x:c>
      <x:c r="Q6" s="42" t="n">
        <x:f>'Project Setup'!$C$9*(1+'Project Setup'!$C$10)^MAX(0,Q$3-('Project Setup'!$C$6+'Project Setup'!$C$7))</x:f>
        <x:v>78.18308507092104</x:v>
      </x:c>
      <x:c r="R6" s="42" t="n">
        <x:f>'Project Setup'!$C$9*(1+'Project Setup'!$C$10)^MAX(0,R$3-('Project Setup'!$C$6+'Project Setup'!$C$7))</x:f>
        <x:v>79.59038060219761</x:v>
      </x:c>
      <x:c r="S6" s="42" t="n">
        <x:f>'Project Setup'!$C$9*(1+'Project Setup'!$C$10)^MAX(0,S$3-('Project Setup'!$C$6+'Project Setup'!$C$7))</x:f>
        <x:v>81.02300745303718</x:v>
      </x:c>
      <x:c r="T6" s="42" t="n">
        <x:f>'Project Setup'!$C$9*(1+'Project Setup'!$C$10)^MAX(0,T$3-('Project Setup'!$C$6+'Project Setup'!$C$7))</x:f>
        <x:v>82.48142158719185</x:v>
      </x:c>
      <x:c r="U6" s="42" t="n">
        <x:f>'Project Setup'!$C$9*(1+'Project Setup'!$C$10)^MAX(0,U$3-('Project Setup'!$C$6+'Project Setup'!$C$7))</x:f>
        <x:v>83.9660871757613</x:v>
      </x:c>
      <x:c r="V6" s="42" t="n">
        <x:f>'Project Setup'!$C$9*(1+'Project Setup'!$C$10)^MAX(0,V$3-('Project Setup'!$C$6+'Project Setup'!$C$7))</x:f>
        <x:v>85.47747674492501</x:v>
      </x:c>
      <x:c r="W6" s="42" t="n">
        <x:f>'Project Setup'!$C$9*(1+'Project Setup'!$C$10)^MAX(0,W$3-('Project Setup'!$C$6+'Project Setup'!$C$7))</x:f>
        <x:v>87.01607132633366</x:v>
      </x:c>
      <x:c r="X6" s="42" t="n">
        <x:f>'Project Setup'!$C$9*(1+'Project Setup'!$C$10)^MAX(0,X$3-('Project Setup'!$C$6+'Project Setup'!$C$7))</x:f>
        <x:v>88.58236061020767</x:v>
      </x:c>
      <x:c r="Y6" s="42" t="n">
        <x:f>'Project Setup'!$C$9*(1+'Project Setup'!$C$10)^MAX(0,Y$3-('Project Setup'!$C$6+'Project Setup'!$C$7))</x:f>
        <x:v>90.17684310119141</x:v>
      </x:c>
      <x:c r="Z6" s="42" t="n">
        <x:f>'Project Setup'!$C$9*(1+'Project Setup'!$C$10)^MAX(0,Z$3-('Project Setup'!$C$6+'Project Setup'!$C$7))</x:f>
        <x:v>91.80002627701285</x:v>
      </x:c>
      <x:c r="AA6" s="42" t="n">
        <x:f>'Project Setup'!$C$9*(1+'Project Setup'!$C$10)^MAX(0,AA$3-('Project Setup'!$C$6+'Project Setup'!$C$7))</x:f>
        <x:v>93.4524267499991</x:v>
      </x:c>
      <x:c r="AB6" s="42" t="n">
        <x:f>'Project Setup'!$C$9*(1+'Project Setup'!$C$10)^MAX(0,AB$3-('Project Setup'!$C$6+'Project Setup'!$C$7))</x:f>
        <x:v>95.13457043149907</x:v>
      </x:c>
    </x:row>
    <x:row r="7">
      <x:c r="A7" t="str">
        <x:v>Revenue ($mm)</x:v>
      </x:c>
      <x:c r="B7" s="42" t="n">
        <x:f>B5*B6/1000</x:f>
        <x:v>0</x:v>
      </x:c>
      <x:c r="C7" s="42" t="n">
        <x:f>C5*C6/1000</x:f>
        <x:v>0</x:v>
      </x:c>
      <x:c r="D7" s="42" t="n">
        <x:f>D5*D6/1000</x:f>
        <x:v>1.7597087999999999</x:v>
      </x:c>
      <x:c r="E7" s="42" t="n">
        <x:f>E5*E6/1000</x:f>
        <x:v>1.2987530798399998</x:v>
      </x:c>
      <x:c r="F7" s="42" t="n">
        <x:f>F5*F6/1000</x:f>
        <x:v>0.958544710575912</x:v>
      </x:c>
      <x:c r="G7" s="42" t="n">
        <x:f>G5*G6/1000</x:f>
        <x:v>0.7074539236405518</x:v>
      </x:c>
      <x:c r="H7" s="42" t="n">
        <x:f>H5*H6/1000</x:f>
        <x:v>0.5221363683429092</x:v>
      </x:c>
      <x:c r="I7" s="42" t="n">
        <x:f>I5*I6/1000</x:f>
        <x:v>0.38536274665548415</x:v>
      </x:c>
      <x:c r="J7" s="42" t="n">
        <x:f>J5*J6/1000</x:f>
        <x:v>0.2844169751690801</x:v>
      </x:c>
      <x:c r="K7" s="42" t="n">
        <x:f>K5*K6/1000</x:f>
        <x:v>0.2099139485235396</x:v>
      </x:c>
      <x:c r="L7" s="42" t="n">
        <x:f>L5*L6/1000</x:f>
        <x:v>0.1549269897077984</x:v>
      </x:c>
      <x:c r="M7" s="42" t="n">
        <x:f>M5*M6/1000</x:f>
        <x:v>0.11434386475384059</x:v>
      </x:c>
      <x:c r="N7" s="42" t="n">
        <x:f>N5*N6/1000</x:f>
        <x:v>0.08439148938157205</x:v>
      </x:c>
      <x:c r="O7" s="42" t="n">
        <x:f>O5*O6/1000</x:f>
        <x:v>0.06228513873806925</x:v>
      </x:c>
      <x:c r="P7" s="42" t="n">
        <x:f>P5*P6/1000</x:f>
        <x:v>0.045969546645632</x:v>
      </x:c>
      <x:c r="Q7" s="42" t="n">
        <x:f>Q5*Q6/1000</x:f>
        <x:v>0.0339278239018087</x:v>
      </x:c>
      <x:c r="R7" s="42" t="n">
        <x:f>R5*R6/1000</x:f>
        <x:v>0.025040430430729916</x:v>
      </x:c>
      <x:c r="S7" s="42" t="n">
        <x:f>S5*S6/1000</x:f>
        <x:v>0.018481089679400216</x:v>
      </x:c>
      <x:c r="T7" s="42" t="n">
        <x:f>T5*T6/1000</x:f>
        <x:v>0.01363996823788133</x:v>
      </x:c>
      <x:c r="U7" s="42" t="n">
        <x:f>U5*U6/1000</x:f>
        <x:v>0.010066978557968318</x:v>
      </x:c>
      <x:c r="V7" s="42" t="n">
        <x:f>V5*V6/1000</x:f>
        <x:v>0.007429933524708517</x:v>
      </x:c>
      <x:c r="W7" s="42" t="n">
        <x:f>W5*W6/1000</x:f>
        <x:v>0.005483662437911119</x:v>
      </x:c>
      <x:c r="X7" s="42" t="n">
        <x:f>X5*X6/1000</x:f>
        <x:v>0.004047217062300303</x:v>
      </x:c>
      <x:c r="Y7" s="42" t="n">
        <x:f>Y5*Y6/1000</x:f>
        <x:v>0.002987048552830738</x:v>
      </x:c>
      <x:c r="Z7" s="42" t="n">
        <x:f>Z5*Z6/1000</x:f>
        <x:v>0.002204591184416726</x:v>
      </x:c>
      <x:c r="AA7" s="42" t="n">
        <x:f>AA5*AA6/1000</x:f>
        <x:v>0.0016270985236587652</x:v>
      </x:c>
      <x:c r="AB7" s="42" t="n">
        <x:f>AB5*AB6/1000</x:f>
        <x:v>0.0012008800653863514</x:v>
      </x:c>
    </x:row>
    <x:row r="8">
      <x:c r="A8" t="str">
        <x:v>Fixed O&amp;M ($mm)</x:v>
      </x:c>
      <x:c r="B8" s="42" t="n">
        <x:f>B4*'Project Setup'!$C$16</x:f>
        <x:v>0</x:v>
      </x:c>
      <x:c r="C8" s="42" t="n">
        <x:f>C4*'Project Setup'!$C$16</x:f>
        <x:v>0</x:v>
      </x:c>
      <x:c r="D8" s="42" t="n">
        <x:f>D4*'Project Setup'!$C$16</x:f>
        <x:v>2.4</x:v>
      </x:c>
      <x:c r="E8" s="42" t="n">
        <x:f>E4*'Project Setup'!$C$16</x:f>
        <x:v>2.4</x:v>
      </x:c>
      <x:c r="F8" s="42" t="n">
        <x:f>F4*'Project Setup'!$C$16</x:f>
        <x:v>2.4</x:v>
      </x:c>
      <x:c r="G8" s="42" t="n">
        <x:f>G4*'Project Setup'!$C$16</x:f>
        <x:v>2.4</x:v>
      </x:c>
      <x:c r="H8" s="42" t="n">
        <x:f>H4*'Project Setup'!$C$16</x:f>
        <x:v>2.4</x:v>
      </x:c>
      <x:c r="I8" s="42" t="n">
        <x:f>I4*'Project Setup'!$C$16</x:f>
        <x:v>2.4</x:v>
      </x:c>
      <x:c r="J8" s="42" t="n">
        <x:f>J4*'Project Setup'!$C$16</x:f>
        <x:v>2.4</x:v>
      </x:c>
      <x:c r="K8" s="42" t="n">
        <x:f>K4*'Project Setup'!$C$16</x:f>
        <x:v>2.4</x:v>
      </x:c>
      <x:c r="L8" s="42" t="n">
        <x:f>L4*'Project Setup'!$C$16</x:f>
        <x:v>2.4</x:v>
      </x:c>
      <x:c r="M8" s="42" t="n">
        <x:f>M4*'Project Setup'!$C$16</x:f>
        <x:v>2.4</x:v>
      </x:c>
      <x:c r="N8" s="42" t="n">
        <x:f>N4*'Project Setup'!$C$16</x:f>
        <x:v>2.4</x:v>
      </x:c>
      <x:c r="O8" s="42" t="n">
        <x:f>O4*'Project Setup'!$C$16</x:f>
        <x:v>2.4</x:v>
      </x:c>
      <x:c r="P8" s="42" t="n">
        <x:f>P4*'Project Setup'!$C$16</x:f>
        <x:v>2.4</x:v>
      </x:c>
      <x:c r="Q8" s="42" t="n">
        <x:f>Q4*'Project Setup'!$C$16</x:f>
        <x:v>2.4</x:v>
      </x:c>
      <x:c r="R8" s="42" t="n">
        <x:f>R4*'Project Setup'!$C$16</x:f>
        <x:v>2.4</x:v>
      </x:c>
      <x:c r="S8" s="42" t="n">
        <x:f>S4*'Project Setup'!$C$16</x:f>
        <x:v>2.4</x:v>
      </x:c>
      <x:c r="T8" s="42" t="n">
        <x:f>T4*'Project Setup'!$C$16</x:f>
        <x:v>2.4</x:v>
      </x:c>
      <x:c r="U8" s="42" t="n">
        <x:f>U4*'Project Setup'!$C$16</x:f>
        <x:v>2.4</x:v>
      </x:c>
      <x:c r="V8" s="42" t="n">
        <x:f>V4*'Project Setup'!$C$16</x:f>
        <x:v>2.4</x:v>
      </x:c>
      <x:c r="W8" s="42" t="n">
        <x:f>W4*'Project Setup'!$C$16</x:f>
        <x:v>2.4</x:v>
      </x:c>
      <x:c r="X8" s="42" t="n">
        <x:f>X4*'Project Setup'!$C$16</x:f>
        <x:v>2.4</x:v>
      </x:c>
      <x:c r="Y8" s="42" t="n">
        <x:f>Y4*'Project Setup'!$C$16</x:f>
        <x:v>2.4</x:v>
      </x:c>
      <x:c r="Z8" s="42" t="n">
        <x:f>Z4*'Project Setup'!$C$16</x:f>
        <x:v>2.4</x:v>
      </x:c>
      <x:c r="AA8" s="42" t="n">
        <x:f>AA4*'Project Setup'!$C$16</x:f>
        <x:v>2.4</x:v>
      </x:c>
      <x:c r="AB8" s="42" t="n">
        <x:f>AB4*'Project Setup'!$C$16</x:f>
        <x:v>2.4</x:v>
      </x:c>
    </x:row>
    <x:row r="9">
      <x:c r="A9" t="str">
        <x:v>Variable O&amp;M ($mm)</x:v>
      </x:c>
      <x:c r="B9" s="42" t="n">
        <x:f>B5*'Project Setup'!$C$17/1000</x:f>
        <x:v>0</x:v>
      </x:c>
      <x:c r="C9" s="42" t="n">
        <x:f>C5*'Project Setup'!$C$17/1000</x:f>
        <x:v>0</x:v>
      </x:c>
      <x:c r="D9" s="42" t="n">
        <x:f>D5*'Project Setup'!$C$17/1000</x:f>
        <x:v>0</x:v>
      </x:c>
      <x:c r="E9" s="42" t="n">
        <x:f>E5*'Project Setup'!$C$17/1000</x:f>
        <x:v>0</x:v>
      </x:c>
      <x:c r="F9" s="42" t="n">
        <x:f>F5*'Project Setup'!$C$17/1000</x:f>
        <x:v>0</x:v>
      </x:c>
      <x:c r="G9" s="42" t="n">
        <x:f>G5*'Project Setup'!$C$17/1000</x:f>
        <x:v>0</x:v>
      </x:c>
      <x:c r="H9" s="42" t="n">
        <x:f>H5*'Project Setup'!$C$17/1000</x:f>
        <x:v>0</x:v>
      </x:c>
      <x:c r="I9" s="42" t="n">
        <x:f>I5*'Project Setup'!$C$17/1000</x:f>
        <x:v>0</x:v>
      </x:c>
      <x:c r="J9" s="42" t="n">
        <x:f>J5*'Project Setup'!$C$17/1000</x:f>
        <x:v>0</x:v>
      </x:c>
      <x:c r="K9" s="42" t="n">
        <x:f>K5*'Project Setup'!$C$17/1000</x:f>
        <x:v>0</x:v>
      </x:c>
      <x:c r="L9" s="42" t="n">
        <x:f>L5*'Project Setup'!$C$17/1000</x:f>
        <x:v>0</x:v>
      </x:c>
      <x:c r="M9" s="42" t="n">
        <x:f>M5*'Project Setup'!$C$17/1000</x:f>
        <x:v>0</x:v>
      </x:c>
      <x:c r="N9" s="42" t="n">
        <x:f>N5*'Project Setup'!$C$17/1000</x:f>
        <x:v>0</x:v>
      </x:c>
      <x:c r="O9" s="42" t="n">
        <x:f>O5*'Project Setup'!$C$17/1000</x:f>
        <x:v>0</x:v>
      </x:c>
      <x:c r="P9" s="42" t="n">
        <x:f>P5*'Project Setup'!$C$17/1000</x:f>
        <x:v>0</x:v>
      </x:c>
      <x:c r="Q9" s="42" t="n">
        <x:f>Q5*'Project Setup'!$C$17/1000</x:f>
        <x:v>0</x:v>
      </x:c>
      <x:c r="R9" s="42" t="n">
        <x:f>R5*'Project Setup'!$C$17/1000</x:f>
        <x:v>0</x:v>
      </x:c>
      <x:c r="S9" s="42" t="n">
        <x:f>S5*'Project Setup'!$C$17/1000</x:f>
        <x:v>0</x:v>
      </x:c>
      <x:c r="T9" s="42" t="n">
        <x:f>T5*'Project Setup'!$C$17/1000</x:f>
        <x:v>0</x:v>
      </x:c>
      <x:c r="U9" s="42" t="n">
        <x:f>U5*'Project Setup'!$C$17/1000</x:f>
        <x:v>0</x:v>
      </x:c>
      <x:c r="V9" s="42" t="n">
        <x:f>V5*'Project Setup'!$C$17/1000</x:f>
        <x:v>0</x:v>
      </x:c>
      <x:c r="W9" s="42" t="n">
        <x:f>W5*'Project Setup'!$C$17/1000</x:f>
        <x:v>0</x:v>
      </x:c>
      <x:c r="X9" s="42" t="n">
        <x:f>X5*'Project Setup'!$C$17/1000</x:f>
        <x:v>0</x:v>
      </x:c>
      <x:c r="Y9" s="42" t="n">
        <x:f>Y5*'Project Setup'!$C$17/1000</x:f>
        <x:v>0</x:v>
      </x:c>
      <x:c r="Z9" s="42" t="n">
        <x:f>Z5*'Project Setup'!$C$17/1000</x:f>
        <x:v>0</x:v>
      </x:c>
      <x:c r="AA9" s="42" t="n">
        <x:f>AA5*'Project Setup'!$C$17/1000</x:f>
        <x:v>0</x:v>
      </x:c>
      <x:c r="AB9" s="42" t="n">
        <x:f>AB5*'Project Setup'!$C$17/1000</x:f>
        <x:v>0</x:v>
      </x:c>
    </x:row>
    <x:row r="10">
      <x:c r="A10" t="str">
        <x:v>EBITDA ($mm)</x:v>
      </x:c>
      <x:c r="B10" s="42" t="n">
        <x:f>B7-B8-B9</x:f>
        <x:v>0</x:v>
      </x:c>
      <x:c r="C10" s="42" t="n">
        <x:f>C7-C8-C9</x:f>
        <x:v>0</x:v>
      </x:c>
      <x:c r="D10" s="42" t="n">
        <x:f>D7-D8-D9</x:f>
        <x:v>-0.6402912000000001</x:v>
      </x:c>
      <x:c r="E10" s="42" t="n">
        <x:f>E7-E8-E9</x:f>
        <x:v>-1.1012469201600001</x:v>
      </x:c>
      <x:c r="F10" s="42" t="n">
        <x:f>F7-F8-F9</x:f>
        <x:v>-1.441455289424088</x:v>
      </x:c>
      <x:c r="G10" s="42" t="n">
        <x:f>G7-G8-G9</x:f>
        <x:v>-1.6925460763594482</x:v>
      </x:c>
      <x:c r="H10" s="42" t="n">
        <x:f>H7-H8-H9</x:f>
        <x:v>-1.8778636316570907</x:v>
      </x:c>
      <x:c r="I10" s="42" t="n">
        <x:f>I7-I8-I9</x:f>
        <x:v>-2.0146372533445156</x:v>
      </x:c>
      <x:c r="J10" s="42" t="n">
        <x:f>J7-J8-J9</x:f>
        <x:v>-2.11558302483092</x:v>
      </x:c>
      <x:c r="K10" s="42" t="n">
        <x:f>K7-K8-K9</x:f>
        <x:v>-2.1900860514764604</x:v>
      </x:c>
      <x:c r="L10" s="42" t="n">
        <x:f>L7-L8-L9</x:f>
        <x:v>-2.2450730102922014</x:v>
      </x:c>
      <x:c r="M10" s="42" t="n">
        <x:f>M7-M8-M9</x:f>
        <x:v>-2.2856561352461595</x:v>
      </x:c>
      <x:c r="N10" s="42" t="n">
        <x:f>N7-N8-N9</x:f>
        <x:v>-2.3156085106184277</x:v>
      </x:c>
      <x:c r="O10" s="42" t="n">
        <x:f>O7-O8-O9</x:f>
        <x:v>-2.3377148612619307</x:v>
      </x:c>
      <x:c r="P10" s="42" t="n">
        <x:f>P7-P8-P9</x:f>
        <x:v>-2.354030453354368</x:v>
      </x:c>
      <x:c r="Q10" s="42" t="n">
        <x:f>Q7-Q8-Q9</x:f>
        <x:v>-2.366072176098191</x:v>
      </x:c>
      <x:c r="R10" s="42" t="n">
        <x:f>R7-R8-R9</x:f>
        <x:v>-2.37495956956927</x:v>
      </x:c>
      <x:c r="S10" s="42" t="n">
        <x:f>S7-S8-S9</x:f>
        <x:v>-2.3815189103205996</x:v>
      </x:c>
      <x:c r="T10" s="42" t="n">
        <x:f>T7-T8-T9</x:f>
        <x:v>-2.3863600317621185</x:v>
      </x:c>
      <x:c r="U10" s="42" t="n">
        <x:f>U7-U8-U9</x:f>
        <x:v>-2.389933021442032</x:v>
      </x:c>
      <x:c r="V10" s="42" t="n">
        <x:f>V7-V8-V9</x:f>
        <x:v>-2.3925700664752916</x:v>
      </x:c>
      <x:c r="W10" s="42" t="n">
        <x:f>W7-W8-W9</x:f>
        <x:v>-2.394516337562089</x:v>
      </x:c>
      <x:c r="X10" s="42" t="n">
        <x:f>X7-X8-X9</x:f>
        <x:v>-2.3959527829376994</x:v>
      </x:c>
      <x:c r="Y10" s="42" t="n">
        <x:f>Y7-Y8-Y9</x:f>
        <x:v>-2.397012951447169</x:v>
      </x:c>
      <x:c r="Z10" s="42" t="n">
        <x:f>Z7-Z8-Z9</x:f>
        <x:v>-2.397795408815583</x:v>
      </x:c>
      <x:c r="AA10" s="42" t="n">
        <x:f>AA7-AA8-AA9</x:f>
        <x:v>-2.3983729014763413</x:v>
      </x:c>
      <x:c r="AB10" s="42" t="n">
        <x:f>AB7-AB8-AB9</x:f>
        <x:v>-2.3987991199346137</x:v>
      </x:c>
    </x:row>
    <x:row r="11">
      <x:c r="A11" t="str">
        <x:v>EBITDA margin</x:v>
      </x:c>
      <x:c r="B11" s="44" t="n">
        <x:f>IFERROR(B10/B7,0)</x:f>
        <x:v>0</x:v>
      </x:c>
      <x:c r="C11" s="44" t="n">
        <x:f>IFERROR(C10/C7,0)</x:f>
        <x:v>0</x:v>
      </x:c>
      <x:c r="D11" s="44" t="n">
        <x:f>IFERROR(D10/D7,0)</x:f>
        <x:v>-0.3638620208070791</x:v>
      </x:c>
      <x:c r="E11" s="44" t="n">
        <x:f>IFERROR(E10/E7,0)</x:f>
        <x:v>-0.8479263204485864</x:v>
      </x:c>
      <x:c r="F11" s="44" t="n">
        <x:f>IFERROR(F10/F7,0)</x:f>
        <x:v>-1.503795570013666</x:v>
      </x:c>
      <x:c r="G11" s="44" t="n">
        <x:f>IFERROR(G10/G7,0)</x:f>
        <x:v>-2.3924470835494427</x:v>
      </x:c>
      <x:c r="H11" s="44" t="n">
        <x:f>IFERROR(H10/H7,0)</x:f>
        <x:v>-3.596500350314264</x:v>
      </x:c>
      <x:c r="I11" s="44" t="n">
        <x:f>IFERROR(I10/I7,0)</x:f>
        <x:v>-5.22789831354822</x:v>
      </x:c>
      <x:c r="J11" s="44" t="n">
        <x:f>IFERROR(J10/J7,0)</x:f>
        <x:v>-7.438314902172238</x:v>
      </x:c>
      <x:c r="K11" s="44" t="n">
        <x:f>IFERROR(K10/K7,0)</x:f>
        <x:v>-10.433256421885018</x:v>
      </x:c>
      <x:c r="L11" s="44" t="n">
        <x:f>IFERROR(L10/L7,0)</x:f>
        <x:v>-14.491167836711627</x:v>
      </x:c>
      <x:c r="M11" s="44" t="n">
        <x:f>IFERROR(M10/M7,0)</x:f>
        <x:v>-19.989320285497772</x:v>
      </x:c>
      <x:c r="N11" s="44" t="n">
        <x:f>IFERROR(N10/N7,0)</x:f>
        <x:v>-27.43888664114595</x:v>
      </x:c>
      <x:c r="O11" s="44" t="n">
        <x:f>IFERROR(O10/O7,0)</x:f>
        <x:v>-37.532466148832675</x:v>
      </x:c>
      <x:c r="P11" s="44" t="n">
        <x:f>IFERROR(P10/P7,0)</x:f>
        <x:v>-51.20847659214509</x:v>
      </x:c>
      <x:c r="Q11" s="44" t="n">
        <x:f>IFERROR(Q10/Q7,0)</x:f>
        <x:v>-69.73840063971964</x:v>
      </x:c>
      <x:c r="R11" s="44" t="n">
        <x:f>IFERROR(R10/R7,0)</x:f>
        <x:v>-94.84499781819609</x:v>
      </x:c>
      <x:c r="S11" s="44" t="n">
        <x:f>IFERROR(S10/S7,0)</x:f>
        <x:v>-128.86247248586963</x:v>
      </x:c>
      <x:c r="T11" s="44" t="n">
        <x:f>IFERROR(T10/T7,0)</x:f>
        <x:v>-174.95348890436912</x:v>
      </x:c>
      <x:c r="U11" s="44" t="n">
        <x:f>IFERROR(U10/U7,0)</x:f>
        <x:v>-237.4032096800611</x:v>
      </x:c>
      <x:c r="V11" s="44" t="n">
        <x:f>IFERROR(V10/V7,0)</x:f>
        <x:v>-322.01769484460556</x:v>
      </x:c>
      <x:c r="W11" s="44" t="n">
        <x:f>IFERROR(W10/W7,0)</x:f>
        <x:v>-436.6637014356827</x:v>
      </x:c>
      <x:c r="X11" s="44" t="n">
        <x:f>IFERROR(X10/X7,0)</x:f>
        <x:v>-592.0000696913252</x:v>
      </x:c>
      <x:c r="Y11" s="44" t="n">
        <x:f>IFERROR(Y10/Y7,0)</x:f>
        <x:v>-802.4686941146606</x:v>
      </x:c>
      <x:c r="Z11" s="44" t="n">
        <x:f>IFERROR(Z10/Z7,0)</x:f>
        <x:v>-1087.637211726388</x:v>
      </x:c>
      <x:c r="AA11" s="44" t="n">
        <x:f>IFERROR(AA10/AA7,0)</x:f>
        <x:v>-1474.0182395859192</x:v>
      </x:c>
      <x:c r="AB11" s="44" t="n">
        <x:f>IFERROR(AB10/AB7,0)</x:f>
        <x:v>-1997.5342992831374</x:v>
      </x:c>
    </x:row>
  </x:sheetData>
  <x:mergeCells>
    <x:mergeCell ref="A1:A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 ht="26" customHeight="1">
      <x:c r="A1" s="5" t="str">
        <x:v>Debt Schedule</x:v>
      </x:c>
    </x:row>
    <x:row r="3">
      <x:c r="A3" s="20" t="str">
        <x:v>Metric</x:v>
      </x:c>
      <x:c r="B3" s="20" t="n">
        <x:v>2027</x:v>
      </x:c>
      <x:c r="C3" s="20" t="n">
        <x:v>2028</x:v>
      </x:c>
      <x:c r="D3" s="20" t="n">
        <x:v>2029</x:v>
      </x:c>
      <x:c r="E3" s="20" t="n">
        <x:v>2030</x:v>
      </x:c>
      <x:c r="F3" s="20" t="n">
        <x:v>2031</x:v>
      </x:c>
      <x:c r="G3" s="20" t="n">
        <x:v>2032</x:v>
      </x:c>
      <x:c r="H3" s="20" t="n">
        <x:v>2033</x:v>
      </x:c>
      <x:c r="I3" s="20" t="n">
        <x:v>2034</x:v>
      </x:c>
      <x:c r="J3" s="20" t="n">
        <x:v>2035</x:v>
      </x:c>
      <x:c r="K3" s="20" t="n">
        <x:v>2036</x:v>
      </x:c>
      <x:c r="L3" s="20" t="n">
        <x:v>2037</x:v>
      </x:c>
      <x:c r="M3" s="20" t="n">
        <x:v>2038</x:v>
      </x:c>
      <x:c r="N3" s="20" t="n">
        <x:v>2039</x:v>
      </x:c>
      <x:c r="O3" s="20" t="n">
        <x:v>2040</x:v>
      </x:c>
      <x:c r="P3" s="20" t="n">
        <x:v>2041</x:v>
      </x:c>
      <x:c r="Q3" s="20" t="n">
        <x:v>2042</x:v>
      </x:c>
      <x:c r="R3" s="20" t="n">
        <x:v>2043</x:v>
      </x:c>
      <x:c r="S3" s="20" t="n">
        <x:v>2044</x:v>
      </x:c>
      <x:c r="T3" s="20" t="n">
        <x:v>2045</x:v>
      </x:c>
      <x:c r="U3" s="20" t="n">
        <x:v>2046</x:v>
      </x:c>
      <x:c r="V3" s="20" t="n">
        <x:v>2047</x:v>
      </x:c>
      <x:c r="W3" s="20" t="n">
        <x:v>2048</x:v>
      </x:c>
      <x:c r="X3" s="20" t="n">
        <x:v>2049</x:v>
      </x:c>
      <x:c r="Y3" s="20" t="n">
        <x:v>2050</x:v>
      </x:c>
      <x:c r="Z3" s="20" t="n">
        <x:v>2051</x:v>
      </x:c>
      <x:c r="AA3" s="20" t="n">
        <x:v>2052</x:v>
      </x:c>
      <x:c r="AB3" s="20" t="n">
        <x:v>2053</x:v>
      </x:c>
    </x:row>
    <x:row r="4">
      <x:c r="A4" t="str">
        <x:v>Opening debt</x:v>
      </x:c>
      <x:c r="B4" s="42" t="n">
        <x:f>0</x:f>
        <x:v>0</x:v>
      </x:c>
      <x:c r="C4" s="42" t="n">
        <x:f>B10</x:f>
        <x:v>0.09922500000000001</x:v>
      </x:c>
      <x:c r="D4" s="42" t="n">
        <x:f>C10</x:f>
        <x:v>0.22050000000000003</x:v>
      </x:c>
      <x:c r="E4" s="42" t="n">
        <x:f>D10</x:f>
        <x:v>0.22050000000000003</x:v>
      </x:c>
      <x:c r="F4" s="42" t="n">
        <x:f>E10</x:f>
        <x:v>0.22050000000000003</x:v>
      </x:c>
      <x:c r="G4" s="42" t="n">
        <x:f>F10</x:f>
        <x:v>0.22050000000000003</x:v>
      </x:c>
      <x:c r="H4" s="42" t="n">
        <x:f>G10</x:f>
        <x:v>0.22050000000000003</x:v>
      </x:c>
      <x:c r="I4" s="42" t="n">
        <x:f>H10</x:f>
        <x:v>0.22050000000000003</x:v>
      </x:c>
      <x:c r="J4" s="42" t="n">
        <x:f>I10</x:f>
        <x:v>0.22050000000000003</x:v>
      </x:c>
      <x:c r="K4" s="42" t="n">
        <x:f>J10</x:f>
        <x:v>0.22050000000000003</x:v>
      </x:c>
      <x:c r="L4" s="42" t="n">
        <x:f>K10</x:f>
        <x:v>0.22050000000000003</x:v>
      </x:c>
      <x:c r="M4" s="42" t="n">
        <x:f>L10</x:f>
        <x:v>0.22050000000000003</x:v>
      </x:c>
      <x:c r="N4" s="42" t="n">
        <x:f>M10</x:f>
        <x:v>0.22050000000000003</x:v>
      </x:c>
      <x:c r="O4" s="42" t="n">
        <x:f>N10</x:f>
        <x:v>0.22050000000000003</x:v>
      </x:c>
      <x:c r="P4" s="42" t="n">
        <x:f>O10</x:f>
        <x:v>0.22050000000000003</x:v>
      </x:c>
      <x:c r="Q4" s="42" t="n">
        <x:f>P10</x:f>
        <x:v>0.22050000000000003</x:v>
      </x:c>
      <x:c r="R4" s="42" t="n">
        <x:f>Q10</x:f>
        <x:v>0.22050000000000003</x:v>
      </x:c>
      <x:c r="S4" s="42" t="n">
        <x:f>R10</x:f>
        <x:v>0.22050000000000003</x:v>
      </x:c>
      <x:c r="T4" s="42" t="n">
        <x:f>S10</x:f>
        <x:v>0.22050000000000003</x:v>
      </x:c>
      <x:c r="U4" s="42" t="n">
        <x:f>T10</x:f>
        <x:v>0.22050000000000003</x:v>
      </x:c>
      <x:c r="V4" s="42" t="n">
        <x:f>U10</x:f>
        <x:v>0.22050000000000003</x:v>
      </x:c>
      <x:c r="W4" s="42" t="n">
        <x:f>V10</x:f>
        <x:v>0.22050000000000003</x:v>
      </x:c>
      <x:c r="X4" s="42" t="n">
        <x:f>W10</x:f>
        <x:v>0.22050000000000003</x:v>
      </x:c>
      <x:c r="Y4" s="42" t="n">
        <x:f>X10</x:f>
        <x:v>0.22050000000000003</x:v>
      </x:c>
      <x:c r="Z4" s="42" t="n">
        <x:f>Y10</x:f>
        <x:v>0.22050000000000003</x:v>
      </x:c>
      <x:c r="AA4" s="42" t="n">
        <x:f>Z10</x:f>
        <x:v>0.22050000000000003</x:v>
      </x:c>
      <x:c r="AB4" s="42" t="n">
        <x:f>AA10</x:f>
        <x:v>0.22050000000000003</x:v>
      </x:c>
    </x:row>
    <x:row r="5">
      <x:c r="A5" t="str">
        <x:v>Debt draw</x:v>
      </x:c>
      <x:c r="B5" s="42" t="n">
        <x:f>'Build Schedule'!B7*'Project Setup'!$C$20</x:f>
        <x:v>0.09922500000000001</x:v>
      </x:c>
      <x:c r="C5" s="42" t="n">
        <x:f>'Build Schedule'!C7*'Project Setup'!$C$20</x:f>
        <x:v>0.12127500000000001</x:v>
      </x:c>
      <x:c r="D5" s="42" t="n">
        <x:f>'Build Schedule'!D7*'Project Setup'!$C$20</x:f>
        <x:v>0</x:v>
      </x:c>
      <x:c r="E5" s="42" t="n">
        <x:f>'Build Schedule'!E7*'Project Setup'!$C$20</x:f>
        <x:v>0</x:v>
      </x:c>
      <x:c r="F5" s="42" t="n">
        <x:f>'Build Schedule'!F7*'Project Setup'!$C$20</x:f>
        <x:v>0</x:v>
      </x:c>
      <x:c r="G5" s="42" t="n">
        <x:f>'Build Schedule'!G7*'Project Setup'!$C$20</x:f>
        <x:v>0</x:v>
      </x:c>
      <x:c r="H5" s="42" t="n">
        <x:f>'Build Schedule'!H7*'Project Setup'!$C$20</x:f>
        <x:v>0</x:v>
      </x:c>
      <x:c r="I5" s="42" t="n">
        <x:f>'Build Schedule'!I7*'Project Setup'!$C$20</x:f>
        <x:v>0</x:v>
      </x:c>
      <x:c r="J5" s="42" t="n">
        <x:f>'Build Schedule'!J7*'Project Setup'!$C$20</x:f>
        <x:v>0</x:v>
      </x:c>
      <x:c r="K5" s="42" t="n">
        <x:f>'Build Schedule'!K7*'Project Setup'!$C$20</x:f>
        <x:v>0</x:v>
      </x:c>
      <x:c r="L5" s="42" t="n">
        <x:f>'Build Schedule'!L7*'Project Setup'!$C$20</x:f>
        <x:v>0</x:v>
      </x:c>
      <x:c r="M5" s="42" t="n">
        <x:f>'Build Schedule'!M7*'Project Setup'!$C$20</x:f>
        <x:v>0</x:v>
      </x:c>
      <x:c r="N5" s="42" t="n">
        <x:f>'Build Schedule'!N7*'Project Setup'!$C$20</x:f>
        <x:v>0</x:v>
      </x:c>
      <x:c r="O5" s="42" t="n">
        <x:f>'Build Schedule'!O7*'Project Setup'!$C$20</x:f>
        <x:v>0</x:v>
      </x:c>
      <x:c r="P5" s="42" t="n">
        <x:f>'Build Schedule'!P7*'Project Setup'!$C$20</x:f>
        <x:v>0</x:v>
      </x:c>
      <x:c r="Q5" s="42" t="n">
        <x:f>'Build Schedule'!Q7*'Project Setup'!$C$20</x:f>
        <x:v>0</x:v>
      </x:c>
      <x:c r="R5" s="42" t="n">
        <x:f>'Build Schedule'!R7*'Project Setup'!$C$20</x:f>
        <x:v>0</x:v>
      </x:c>
      <x:c r="S5" s="42" t="n">
        <x:f>'Build Schedule'!S7*'Project Setup'!$C$20</x:f>
        <x:v>0</x:v>
      </x:c>
      <x:c r="T5" s="42" t="n">
        <x:f>'Build Schedule'!T7*'Project Setup'!$C$20</x:f>
        <x:v>0</x:v>
      </x:c>
      <x:c r="U5" s="42" t="n">
        <x:f>'Build Schedule'!U7*'Project Setup'!$C$20</x:f>
        <x:v>0</x:v>
      </x:c>
      <x:c r="V5" s="42" t="n">
        <x:f>'Build Schedule'!V7*'Project Setup'!$C$20</x:f>
        <x:v>0</x:v>
      </x:c>
      <x:c r="W5" s="42" t="n">
        <x:f>'Build Schedule'!W7*'Project Setup'!$C$20</x:f>
        <x:v>0</x:v>
      </x:c>
      <x:c r="X5" s="42" t="n">
        <x:f>'Build Schedule'!X7*'Project Setup'!$C$20</x:f>
        <x:v>0</x:v>
      </x:c>
      <x:c r="Y5" s="42" t="n">
        <x:f>'Build Schedule'!Y7*'Project Setup'!$C$20</x:f>
        <x:v>0</x:v>
      </x:c>
      <x:c r="Z5" s="42" t="n">
        <x:f>'Build Schedule'!Z7*'Project Setup'!$C$20</x:f>
        <x:v>0</x:v>
      </x:c>
      <x:c r="AA5" s="42" t="n">
        <x:f>'Build Schedule'!AA7*'Project Setup'!$C$20</x:f>
        <x:v>0</x:v>
      </x:c>
      <x:c r="AB5" s="42" t="n">
        <x:f>'Build Schedule'!AB7*'Project Setup'!$C$20</x:f>
        <x:v>0</x:v>
      </x:c>
    </x:row>
    <x:row r="6">
      <x:c r="A6" t="str">
        <x:v>Interest rate</x:v>
      </x:c>
      <x:c r="B6" s="44" t="n">
        <x:f>'Project Setup'!$C$21+'Project Setup'!$C$22</x:f>
        <x:v>0.0625</x:v>
      </x:c>
      <x:c r="C6" s="44" t="n">
        <x:f>'Project Setup'!$C$21+'Project Setup'!$C$22</x:f>
        <x:v>0.0625</x:v>
      </x:c>
      <x:c r="D6" s="44" t="n">
        <x:f>'Project Setup'!$C$21+'Project Setup'!$C$22</x:f>
        <x:v>0.0625</x:v>
      </x:c>
      <x:c r="E6" s="44" t="n">
        <x:f>'Project Setup'!$C$21+'Project Setup'!$C$22</x:f>
        <x:v>0.0625</x:v>
      </x:c>
      <x:c r="F6" s="44" t="n">
        <x:f>'Project Setup'!$C$21+'Project Setup'!$C$22</x:f>
        <x:v>0.0625</x:v>
      </x:c>
      <x:c r="G6" s="44" t="n">
        <x:f>'Project Setup'!$C$21+'Project Setup'!$C$22</x:f>
        <x:v>0.0625</x:v>
      </x:c>
      <x:c r="H6" s="44" t="n">
        <x:f>'Project Setup'!$C$21+'Project Setup'!$C$22</x:f>
        <x:v>0.0625</x:v>
      </x:c>
      <x:c r="I6" s="44" t="n">
        <x:f>'Project Setup'!$C$21+'Project Setup'!$C$22</x:f>
        <x:v>0.0625</x:v>
      </x:c>
      <x:c r="J6" s="44" t="n">
        <x:f>'Project Setup'!$C$21+'Project Setup'!$C$22</x:f>
        <x:v>0.0625</x:v>
      </x:c>
      <x:c r="K6" s="44" t="n">
        <x:f>'Project Setup'!$C$21+'Project Setup'!$C$22</x:f>
        <x:v>0.0625</x:v>
      </x:c>
      <x:c r="L6" s="44" t="n">
        <x:f>'Project Setup'!$C$21+'Project Setup'!$C$22</x:f>
        <x:v>0.0625</x:v>
      </x:c>
      <x:c r="M6" s="44" t="n">
        <x:f>'Project Setup'!$C$21+'Project Setup'!$C$22</x:f>
        <x:v>0.0625</x:v>
      </x:c>
      <x:c r="N6" s="44" t="n">
        <x:f>'Project Setup'!$C$21+'Project Setup'!$C$22</x:f>
        <x:v>0.0625</x:v>
      </x:c>
      <x:c r="O6" s="44" t="n">
        <x:f>'Project Setup'!$C$21+'Project Setup'!$C$22</x:f>
        <x:v>0.0625</x:v>
      </x:c>
      <x:c r="P6" s="44" t="n">
        <x:f>'Project Setup'!$C$21+'Project Setup'!$C$22</x:f>
        <x:v>0.0625</x:v>
      </x:c>
      <x:c r="Q6" s="44" t="n">
        <x:f>'Project Setup'!$C$21+'Project Setup'!$C$22</x:f>
        <x:v>0.0625</x:v>
      </x:c>
      <x:c r="R6" s="44" t="n">
        <x:f>'Project Setup'!$C$21+'Project Setup'!$C$22</x:f>
        <x:v>0.0625</x:v>
      </x:c>
      <x:c r="S6" s="44" t="n">
        <x:f>'Project Setup'!$C$21+'Project Setup'!$C$22</x:f>
        <x:v>0.0625</x:v>
      </x:c>
      <x:c r="T6" s="44" t="n">
        <x:f>'Project Setup'!$C$21+'Project Setup'!$C$22</x:f>
        <x:v>0.0625</x:v>
      </x:c>
      <x:c r="U6" s="44" t="n">
        <x:f>'Project Setup'!$C$21+'Project Setup'!$C$22</x:f>
        <x:v>0.0625</x:v>
      </x:c>
      <x:c r="V6" s="44" t="n">
        <x:f>'Project Setup'!$C$21+'Project Setup'!$C$22</x:f>
        <x:v>0.0625</x:v>
      </x:c>
      <x:c r="W6" s="44" t="n">
        <x:f>'Project Setup'!$C$21+'Project Setup'!$C$22</x:f>
        <x:v>0.0625</x:v>
      </x:c>
      <x:c r="X6" s="44" t="n">
        <x:f>'Project Setup'!$C$21+'Project Setup'!$C$22</x:f>
        <x:v>0.0625</x:v>
      </x:c>
      <x:c r="Y6" s="44" t="n">
        <x:f>'Project Setup'!$C$21+'Project Setup'!$C$22</x:f>
        <x:v>0.0625</x:v>
      </x:c>
      <x:c r="Z6" s="44" t="n">
        <x:f>'Project Setup'!$C$21+'Project Setup'!$C$22</x:f>
        <x:v>0.0625</x:v>
      </x:c>
      <x:c r="AA6" s="44" t="n">
        <x:f>'Project Setup'!$C$21+'Project Setup'!$C$22</x:f>
        <x:v>0.0625</x:v>
      </x:c>
      <x:c r="AB6" s="44" t="n">
        <x:f>'Project Setup'!$C$21+'Project Setup'!$C$22</x:f>
        <x:v>0.0625</x:v>
      </x:c>
    </x:row>
    <x:row r="7">
      <x:c r="A7" t="str">
        <x:v>Interest expense</x:v>
      </x:c>
      <x:c r="B7" s="42" t="n">
        <x:f>(B4+B5/2)*B6</x:f>
        <x:v>0.0031007812500000002</x:v>
      </x:c>
      <x:c r="C7" s="42" t="n">
        <x:f>(C4+C5/2)*C6</x:f>
        <x:v>0.009991406250000001</x:v>
      </x:c>
      <x:c r="D7" s="42" t="n">
        <x:f>(D4+D5/2)*D6</x:f>
        <x:v>0.013781250000000002</x:v>
      </x:c>
      <x:c r="E7" s="42" t="n">
        <x:f>(E4+E5/2)*E6</x:f>
        <x:v>0.013781250000000002</x:v>
      </x:c>
      <x:c r="F7" s="42" t="n">
        <x:f>(F4+F5/2)*F6</x:f>
        <x:v>0.013781250000000002</x:v>
      </x:c>
      <x:c r="G7" s="42" t="n">
        <x:f>(G4+G5/2)*G6</x:f>
        <x:v>0.013781250000000002</x:v>
      </x:c>
      <x:c r="H7" s="42" t="n">
        <x:f>(H4+H5/2)*H6</x:f>
        <x:v>0.013781250000000002</x:v>
      </x:c>
      <x:c r="I7" s="42" t="n">
        <x:f>(I4+I5/2)*I6</x:f>
        <x:v>0.013781250000000002</x:v>
      </x:c>
      <x:c r="J7" s="42" t="n">
        <x:f>(J4+J5/2)*J6</x:f>
        <x:v>0.013781250000000002</x:v>
      </x:c>
      <x:c r="K7" s="42" t="n">
        <x:f>(K4+K5/2)*K6</x:f>
        <x:v>0.013781250000000002</x:v>
      </x:c>
      <x:c r="L7" s="42" t="n">
        <x:f>(L4+L5/2)*L6</x:f>
        <x:v>0.013781250000000002</x:v>
      </x:c>
      <x:c r="M7" s="42" t="n">
        <x:f>(M4+M5/2)*M6</x:f>
        <x:v>0.013781250000000002</x:v>
      </x:c>
      <x:c r="N7" s="42" t="n">
        <x:f>(N4+N5/2)*N6</x:f>
        <x:v>0.013781250000000002</x:v>
      </x:c>
      <x:c r="O7" s="42" t="n">
        <x:f>(O4+O5/2)*O6</x:f>
        <x:v>0.013781250000000002</x:v>
      </x:c>
      <x:c r="P7" s="42" t="n">
        <x:f>(P4+P5/2)*P6</x:f>
        <x:v>0.013781250000000002</x:v>
      </x:c>
      <x:c r="Q7" s="42" t="n">
        <x:f>(Q4+Q5/2)*Q6</x:f>
        <x:v>0.013781250000000002</x:v>
      </x:c>
      <x:c r="R7" s="42" t="n">
        <x:f>(R4+R5/2)*R6</x:f>
        <x:v>0.013781250000000002</x:v>
      </x:c>
      <x:c r="S7" s="42" t="n">
        <x:f>(S4+S5/2)*S6</x:f>
        <x:v>0.013781250000000002</x:v>
      </x:c>
      <x:c r="T7" s="42" t="n">
        <x:f>(T4+T5/2)*T6</x:f>
        <x:v>0.013781250000000002</x:v>
      </x:c>
      <x:c r="U7" s="42" t="n">
        <x:f>(U4+U5/2)*U6</x:f>
        <x:v>0.013781250000000002</x:v>
      </x:c>
      <x:c r="V7" s="42" t="n">
        <x:f>(V4+V5/2)*V6</x:f>
        <x:v>0.013781250000000002</x:v>
      </x:c>
      <x:c r="W7" s="42" t="n">
        <x:f>(W4+W5/2)*W6</x:f>
        <x:v>0.013781250000000002</x:v>
      </x:c>
      <x:c r="X7" s="42" t="n">
        <x:f>(X4+X5/2)*X6</x:f>
        <x:v>0.013781250000000002</x:v>
      </x:c>
      <x:c r="Y7" s="42" t="n">
        <x:f>(Y4+Y5/2)*Y6</x:f>
        <x:v>0.013781250000000002</x:v>
      </x:c>
      <x:c r="Z7" s="42" t="n">
        <x:f>(Z4+Z5/2)*Z6</x:f>
        <x:v>0.013781250000000002</x:v>
      </x:c>
      <x:c r="AA7" s="42" t="n">
        <x:f>(AA4+AA5/2)*AA6</x:f>
        <x:v>0.013781250000000002</x:v>
      </x:c>
      <x:c r="AB7" s="42" t="n">
        <x:f>(AB4+AB5/2)*AB6</x:f>
        <x:v>0.013781250000000002</x:v>
      </x:c>
    </x:row>
    <x:row r="8">
      <x:c r="A8" t="str">
        <x:v>Debt service</x:v>
      </x:c>
      <x:c r="B8" s="42" t="n">
        <x:f>IF(AND(B$3&gt;=2029,B$3&lt;=2045),MAX(0,'Cash Flow'!B8/'Project Setup'!$C$24),0)</x:f>
        <x:v>0</x:v>
      </x:c>
      <x:c r="C8" s="42" t="n">
        <x:f>IF(AND(C$3&gt;=2029,C$3&lt;=2045),MAX(0,'Cash Flow'!C8/'Project Setup'!$C$24),0)</x:f>
        <x:v>0</x:v>
      </x:c>
      <x:c r="D8" s="42" t="n">
        <x:f>IF(AND(D$3&gt;=2029,D$3&lt;=2045),MAX(0,'Cash Flow'!D8/'Project Setup'!$C$24),0)</x:f>
        <x:v>0</x:v>
      </x:c>
      <x:c r="E8" s="42" t="n">
        <x:f>IF(AND(E$3&gt;=2029,E$3&lt;=2045),MAX(0,'Cash Flow'!E8/'Project Setup'!$C$24),0)</x:f>
        <x:v>0</x:v>
      </x:c>
      <x:c r="F8" s="42" t="n">
        <x:f>IF(AND(F$3&gt;=2029,F$3&lt;=2045),MAX(0,'Cash Flow'!F8/'Project Setup'!$C$24),0)</x:f>
        <x:v>0</x:v>
      </x:c>
      <x:c r="G8" s="42" t="n">
        <x:f>IF(AND(G$3&gt;=2029,G$3&lt;=2045),MAX(0,'Cash Flow'!G8/'Project Setup'!$C$24),0)</x:f>
        <x:v>0</x:v>
      </x:c>
      <x:c r="H8" s="42" t="n">
        <x:f>IF(AND(H$3&gt;=2029,H$3&lt;=2045),MAX(0,'Cash Flow'!H8/'Project Setup'!$C$24),0)</x:f>
        <x:v>0</x:v>
      </x:c>
      <x:c r="I8" s="42" t="n">
        <x:f>IF(AND(I$3&gt;=2029,I$3&lt;=2045),MAX(0,'Cash Flow'!I8/'Project Setup'!$C$24),0)</x:f>
        <x:v>0</x:v>
      </x:c>
      <x:c r="J8" s="42" t="n">
        <x:f>IF(AND(J$3&gt;=2029,J$3&lt;=2045),MAX(0,'Cash Flow'!J8/'Project Setup'!$C$24),0)</x:f>
        <x:v>0</x:v>
      </x:c>
      <x:c r="K8" s="42" t="n">
        <x:f>IF(AND(K$3&gt;=2029,K$3&lt;=2045),MAX(0,'Cash Flow'!K8/'Project Setup'!$C$24),0)</x:f>
        <x:v>0</x:v>
      </x:c>
      <x:c r="L8" s="42" t="n">
        <x:f>IF(AND(L$3&gt;=2029,L$3&lt;=2045),MAX(0,'Cash Flow'!L8/'Project Setup'!$C$24),0)</x:f>
        <x:v>0</x:v>
      </x:c>
      <x:c r="M8" s="42" t="n">
        <x:f>IF(AND(M$3&gt;=2029,M$3&lt;=2045),MAX(0,'Cash Flow'!M8/'Project Setup'!$C$24),0)</x:f>
        <x:v>0</x:v>
      </x:c>
      <x:c r="N8" s="42" t="n">
        <x:f>IF(AND(N$3&gt;=2029,N$3&lt;=2045),MAX(0,'Cash Flow'!N8/'Project Setup'!$C$24),0)</x:f>
        <x:v>0</x:v>
      </x:c>
      <x:c r="O8" s="42" t="n">
        <x:f>IF(AND(O$3&gt;=2029,O$3&lt;=2045),MAX(0,'Cash Flow'!O8/'Project Setup'!$C$24),0)</x:f>
        <x:v>0</x:v>
      </x:c>
      <x:c r="P8" s="42" t="n">
        <x:f>IF(AND(P$3&gt;=2029,P$3&lt;=2045),MAX(0,'Cash Flow'!P8/'Project Setup'!$C$24),0)</x:f>
        <x:v>0</x:v>
      </x:c>
      <x:c r="Q8" s="42" t="n">
        <x:f>IF(AND(Q$3&gt;=2029,Q$3&lt;=2045),MAX(0,'Cash Flow'!Q8/'Project Setup'!$C$24),0)</x:f>
        <x:v>0</x:v>
      </x:c>
      <x:c r="R8" s="42" t="n">
        <x:f>IF(AND(R$3&gt;=2029,R$3&lt;=2045),MAX(0,'Cash Flow'!R8/'Project Setup'!$C$24),0)</x:f>
        <x:v>0</x:v>
      </x:c>
      <x:c r="S8" s="42" t="n">
        <x:f>IF(AND(S$3&gt;=2029,S$3&lt;=2045),MAX(0,'Cash Flow'!S8/'Project Setup'!$C$24),0)</x:f>
        <x:v>0</x:v>
      </x:c>
      <x:c r="T8" s="42" t="n">
        <x:f>IF(AND(T$3&gt;=2029,T$3&lt;=2045),MAX(0,'Cash Flow'!T8/'Project Setup'!$C$24),0)</x:f>
        <x:v>0</x:v>
      </x:c>
      <x:c r="U8" s="42" t="n">
        <x:f>IF(AND(U$3&gt;=2029,U$3&lt;=2045),MAX(0,'Cash Flow'!U8/'Project Setup'!$C$24),0)</x:f>
        <x:v>0</x:v>
      </x:c>
      <x:c r="V8" s="42" t="n">
        <x:f>IF(AND(V$3&gt;=2029,V$3&lt;=2045),MAX(0,'Cash Flow'!V8/'Project Setup'!$C$24),0)</x:f>
        <x:v>0</x:v>
      </x:c>
      <x:c r="W8" s="42" t="n">
        <x:f>IF(AND(W$3&gt;=2029,W$3&lt;=2045),MAX(0,'Cash Flow'!W8/'Project Setup'!$C$24),0)</x:f>
        <x:v>0</x:v>
      </x:c>
      <x:c r="X8" s="42" t="n">
        <x:f>IF(AND(X$3&gt;=2029,X$3&lt;=2045),MAX(0,'Cash Flow'!X8/'Project Setup'!$C$24),0)</x:f>
        <x:v>0</x:v>
      </x:c>
      <x:c r="Y8" s="42" t="n">
        <x:f>IF(AND(Y$3&gt;=2029,Y$3&lt;=2045),MAX(0,'Cash Flow'!Y8/'Project Setup'!$C$24),0)</x:f>
        <x:v>0</x:v>
      </x:c>
      <x:c r="Z8" s="42" t="n">
        <x:f>IF(AND(Z$3&gt;=2029,Z$3&lt;=2045),MAX(0,'Cash Flow'!Z8/'Project Setup'!$C$24),0)</x:f>
        <x:v>0</x:v>
      </x:c>
      <x:c r="AA8" s="42" t="n">
        <x:f>IF(AND(AA$3&gt;=2029,AA$3&lt;=2045),MAX(0,'Cash Flow'!AA8/'Project Setup'!$C$24),0)</x:f>
        <x:v>0</x:v>
      </x:c>
      <x:c r="AB8" s="42" t="n">
        <x:f>IF(AND(AB$3&gt;=2029,AB$3&lt;=2045),MAX(0,'Cash Flow'!AB8/'Project Setup'!$C$24),0)</x:f>
        <x:v>0</x:v>
      </x:c>
    </x:row>
    <x:row r="9">
      <x:c r="A9" t="str">
        <x:v>Principal repayment</x:v>
      </x:c>
      <x:c r="B9" s="42" t="n">
        <x:f>MAX(0,B8-B7)</x:f>
        <x:v>0</x:v>
      </x:c>
      <x:c r="C9" s="42" t="n">
        <x:f>MAX(0,C8-C7)</x:f>
        <x:v>0</x:v>
      </x:c>
      <x:c r="D9" s="42" t="n">
        <x:f>MAX(0,D8-D7)</x:f>
        <x:v>0</x:v>
      </x:c>
      <x:c r="E9" s="42" t="n">
        <x:f>MAX(0,E8-E7)</x:f>
        <x:v>0</x:v>
      </x:c>
      <x:c r="F9" s="42" t="n">
        <x:f>MAX(0,F8-F7)</x:f>
        <x:v>0</x:v>
      </x:c>
      <x:c r="G9" s="42" t="n">
        <x:f>MAX(0,G8-G7)</x:f>
        <x:v>0</x:v>
      </x:c>
      <x:c r="H9" s="42" t="n">
        <x:f>MAX(0,H8-H7)</x:f>
        <x:v>0</x:v>
      </x:c>
      <x:c r="I9" s="42" t="n">
        <x:f>MAX(0,I8-I7)</x:f>
        <x:v>0</x:v>
      </x:c>
      <x:c r="J9" s="42" t="n">
        <x:f>MAX(0,J8-J7)</x:f>
        <x:v>0</x:v>
      </x:c>
      <x:c r="K9" s="42" t="n">
        <x:f>MAX(0,K8-K7)</x:f>
        <x:v>0</x:v>
      </x:c>
      <x:c r="L9" s="42" t="n">
        <x:f>MAX(0,L8-L7)</x:f>
        <x:v>0</x:v>
      </x:c>
      <x:c r="M9" s="42" t="n">
        <x:f>MAX(0,M8-M7)</x:f>
        <x:v>0</x:v>
      </x:c>
      <x:c r="N9" s="42" t="n">
        <x:f>MAX(0,N8-N7)</x:f>
        <x:v>0</x:v>
      </x:c>
      <x:c r="O9" s="42" t="n">
        <x:f>MAX(0,O8-O7)</x:f>
        <x:v>0</x:v>
      </x:c>
      <x:c r="P9" s="42" t="n">
        <x:f>MAX(0,P8-P7)</x:f>
        <x:v>0</x:v>
      </x:c>
      <x:c r="Q9" s="42" t="n">
        <x:f>MAX(0,Q8-Q7)</x:f>
        <x:v>0</x:v>
      </x:c>
      <x:c r="R9" s="42" t="n">
        <x:f>MAX(0,R8-R7)</x:f>
        <x:v>0</x:v>
      </x:c>
      <x:c r="S9" s="42" t="n">
        <x:f>MAX(0,S8-S7)</x:f>
        <x:v>0</x:v>
      </x:c>
      <x:c r="T9" s="42" t="n">
        <x:f>MAX(0,T8-T7)</x:f>
        <x:v>0</x:v>
      </x:c>
      <x:c r="U9" s="42" t="n">
        <x:f>MAX(0,U8-U7)</x:f>
        <x:v>0</x:v>
      </x:c>
      <x:c r="V9" s="42" t="n">
        <x:f>MAX(0,V8-V7)</x:f>
        <x:v>0</x:v>
      </x:c>
      <x:c r="W9" s="42" t="n">
        <x:f>MAX(0,W8-W7)</x:f>
        <x:v>0</x:v>
      </x:c>
      <x:c r="X9" s="42" t="n">
        <x:f>MAX(0,X8-X7)</x:f>
        <x:v>0</x:v>
      </x:c>
      <x:c r="Y9" s="42" t="n">
        <x:f>MAX(0,Y8-Y7)</x:f>
        <x:v>0</x:v>
      </x:c>
      <x:c r="Z9" s="42" t="n">
        <x:f>MAX(0,Z8-Z7)</x:f>
        <x:v>0</x:v>
      </x:c>
      <x:c r="AA9" s="42" t="n">
        <x:f>MAX(0,AA8-AA7)</x:f>
        <x:v>0</x:v>
      </x:c>
      <x:c r="AB9" s="42" t="n">
        <x:f>MAX(0,AB8-AB7)</x:f>
        <x:v>0</x:v>
      </x:c>
    </x:row>
    <x:row r="10">
      <x:c r="A10" t="str">
        <x:v>Closing debt</x:v>
      </x:c>
      <x:c r="B10" s="42" t="n">
        <x:f>MAX(0,B4+B5-B9)</x:f>
        <x:v>0.09922500000000001</x:v>
      </x:c>
      <x:c r="C10" s="42" t="n">
        <x:f>MAX(0,C4+C5-C9)</x:f>
        <x:v>0.22050000000000003</x:v>
      </x:c>
      <x:c r="D10" s="42" t="n">
        <x:f>MAX(0,D4+D5-D9)</x:f>
        <x:v>0.22050000000000003</x:v>
      </x:c>
      <x:c r="E10" s="42" t="n">
        <x:f>MAX(0,E4+E5-E9)</x:f>
        <x:v>0.22050000000000003</x:v>
      </x:c>
      <x:c r="F10" s="42" t="n">
        <x:f>MAX(0,F4+F5-F9)</x:f>
        <x:v>0.22050000000000003</x:v>
      </x:c>
      <x:c r="G10" s="42" t="n">
        <x:f>MAX(0,G4+G5-G9)</x:f>
        <x:v>0.22050000000000003</x:v>
      </x:c>
      <x:c r="H10" s="42" t="n">
        <x:f>MAX(0,H4+H5-H9)</x:f>
        <x:v>0.22050000000000003</x:v>
      </x:c>
      <x:c r="I10" s="42" t="n">
        <x:f>MAX(0,I4+I5-I9)</x:f>
        <x:v>0.22050000000000003</x:v>
      </x:c>
      <x:c r="J10" s="42" t="n">
        <x:f>MAX(0,J4+J5-J9)</x:f>
        <x:v>0.22050000000000003</x:v>
      </x:c>
      <x:c r="K10" s="42" t="n">
        <x:f>MAX(0,K4+K5-K9)</x:f>
        <x:v>0.22050000000000003</x:v>
      </x:c>
      <x:c r="L10" s="42" t="n">
        <x:f>MAX(0,L4+L5-L9)</x:f>
        <x:v>0.22050000000000003</x:v>
      </x:c>
      <x:c r="M10" s="42" t="n">
        <x:f>MAX(0,M4+M5-M9)</x:f>
        <x:v>0.22050000000000003</x:v>
      </x:c>
      <x:c r="N10" s="42" t="n">
        <x:f>MAX(0,N4+N5-N9)</x:f>
        <x:v>0.22050000000000003</x:v>
      </x:c>
      <x:c r="O10" s="42" t="n">
        <x:f>MAX(0,O4+O5-O9)</x:f>
        <x:v>0.22050000000000003</x:v>
      </x:c>
      <x:c r="P10" s="42" t="n">
        <x:f>MAX(0,P4+P5-P9)</x:f>
        <x:v>0.22050000000000003</x:v>
      </x:c>
      <x:c r="Q10" s="42" t="n">
        <x:f>MAX(0,Q4+Q5-Q9)</x:f>
        <x:v>0.22050000000000003</x:v>
      </x:c>
      <x:c r="R10" s="42" t="n">
        <x:f>MAX(0,R4+R5-R9)</x:f>
        <x:v>0.22050000000000003</x:v>
      </x:c>
      <x:c r="S10" s="42" t="n">
        <x:f>MAX(0,S4+S5-S9)</x:f>
        <x:v>0.22050000000000003</x:v>
      </x:c>
      <x:c r="T10" s="42" t="n">
        <x:f>MAX(0,T4+T5-T9)</x:f>
        <x:v>0.22050000000000003</x:v>
      </x:c>
      <x:c r="U10" s="42" t="n">
        <x:f>MAX(0,U4+U5-U9)</x:f>
        <x:v>0.22050000000000003</x:v>
      </x:c>
      <x:c r="V10" s="42" t="n">
        <x:f>MAX(0,V4+V5-V9)</x:f>
        <x:v>0.22050000000000003</x:v>
      </x:c>
      <x:c r="W10" s="42" t="n">
        <x:f>MAX(0,W4+W5-W9)</x:f>
        <x:v>0.22050000000000003</x:v>
      </x:c>
      <x:c r="X10" s="42" t="n">
        <x:f>MAX(0,X4+X5-X9)</x:f>
        <x:v>0.22050000000000003</x:v>
      </x:c>
      <x:c r="Y10" s="42" t="n">
        <x:f>MAX(0,Y4+Y5-Y9)</x:f>
        <x:v>0.22050000000000003</x:v>
      </x:c>
      <x:c r="Z10" s="42" t="n">
        <x:f>MAX(0,Z4+Z5-Z9)</x:f>
        <x:v>0.22050000000000003</x:v>
      </x:c>
      <x:c r="AA10" s="42" t="n">
        <x:f>MAX(0,AA4+AA5-AA9)</x:f>
        <x:v>0.22050000000000003</x:v>
      </x:c>
      <x:c r="AB10" s="42" t="n">
        <x:f>MAX(0,AB4+AB5-AB9)</x:f>
        <x:v>0.22050000000000003</x:v>
      </x:c>
    </x:row>
  </x:sheetData>
  <x:mergeCells>
    <x:mergeCell ref="A1:A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 ht="26" customHeight="1">
      <x:c r="A1" s="5" t="str">
        <x:v>Project Cash Flow</x:v>
      </x:c>
    </x:row>
    <x:row r="3">
      <x:c r="A3" s="20" t="str">
        <x:v>Metric</x:v>
      </x:c>
      <x:c r="B3" s="20" t="n">
        <x:v>2027</x:v>
      </x:c>
      <x:c r="C3" s="20" t="n">
        <x:v>2028</x:v>
      </x:c>
      <x:c r="D3" s="20" t="n">
        <x:v>2029</x:v>
      </x:c>
      <x:c r="E3" s="20" t="n">
        <x:v>2030</x:v>
      </x:c>
      <x:c r="F3" s="20" t="n">
        <x:v>2031</x:v>
      </x:c>
      <x:c r="G3" s="20" t="n">
        <x:v>2032</x:v>
      </x:c>
      <x:c r="H3" s="20" t="n">
        <x:v>2033</x:v>
      </x:c>
      <x:c r="I3" s="20" t="n">
        <x:v>2034</x:v>
      </x:c>
      <x:c r="J3" s="20" t="n">
        <x:v>2035</x:v>
      </x:c>
      <x:c r="K3" s="20" t="n">
        <x:v>2036</x:v>
      </x:c>
      <x:c r="L3" s="20" t="n">
        <x:v>2037</x:v>
      </x:c>
      <x:c r="M3" s="20" t="n">
        <x:v>2038</x:v>
      </x:c>
      <x:c r="N3" s="20" t="n">
        <x:v>2039</x:v>
      </x:c>
      <x:c r="O3" s="20" t="n">
        <x:v>2040</x:v>
      </x:c>
      <x:c r="P3" s="20" t="n">
        <x:v>2041</x:v>
      </x:c>
      <x:c r="Q3" s="20" t="n">
        <x:v>2042</x:v>
      </x:c>
      <x:c r="R3" s="20" t="n">
        <x:v>2043</x:v>
      </x:c>
      <x:c r="S3" s="20" t="n">
        <x:v>2044</x:v>
      </x:c>
      <x:c r="T3" s="20" t="n">
        <x:v>2045</x:v>
      </x:c>
      <x:c r="U3" s="20" t="n">
        <x:v>2046</x:v>
      </x:c>
      <x:c r="V3" s="20" t="n">
        <x:v>2047</x:v>
      </x:c>
      <x:c r="W3" s="20" t="n">
        <x:v>2048</x:v>
      </x:c>
      <x:c r="X3" s="20" t="n">
        <x:v>2049</x:v>
      </x:c>
      <x:c r="Y3" s="20" t="n">
        <x:v>2050</x:v>
      </x:c>
      <x:c r="Z3" s="20" t="n">
        <x:v>2051</x:v>
      </x:c>
      <x:c r="AA3" s="20" t="n">
        <x:v>2052</x:v>
      </x:c>
      <x:c r="AB3" s="20" t="n">
        <x:v>2053</x:v>
      </x:c>
    </x:row>
    <x:row r="4">
      <x:c r="A4" t="str">
        <x:v>Revenue</x:v>
      </x:c>
      <x:c r="B4" s="42" t="n">
        <x:f>'Solar Operations'!B7</x:f>
        <x:v>0</x:v>
      </x:c>
      <x:c r="C4" s="42" t="n">
        <x:f>'Solar Operations'!C7</x:f>
        <x:v>0</x:v>
      </x:c>
      <x:c r="D4" s="42" t="n">
        <x:f>'Solar Operations'!D7</x:f>
        <x:v>1.7597087999999999</x:v>
      </x:c>
      <x:c r="E4" s="42" t="n">
        <x:f>'Solar Operations'!E7</x:f>
        <x:v>1.2987530798399998</x:v>
      </x:c>
      <x:c r="F4" s="42" t="n">
        <x:f>'Solar Operations'!F7</x:f>
        <x:v>0.958544710575912</x:v>
      </x:c>
      <x:c r="G4" s="42" t="n">
        <x:f>'Solar Operations'!G7</x:f>
        <x:v>0.7074539236405518</x:v>
      </x:c>
      <x:c r="H4" s="42" t="n">
        <x:f>'Solar Operations'!H7</x:f>
        <x:v>0.5221363683429092</x:v>
      </x:c>
      <x:c r="I4" s="42" t="n">
        <x:f>'Solar Operations'!I7</x:f>
        <x:v>0.38536274665548415</x:v>
      </x:c>
      <x:c r="J4" s="42" t="n">
        <x:f>'Solar Operations'!J7</x:f>
        <x:v>0.2844169751690801</x:v>
      </x:c>
      <x:c r="K4" s="42" t="n">
        <x:f>'Solar Operations'!K7</x:f>
        <x:v>0.2099139485235396</x:v>
      </x:c>
      <x:c r="L4" s="42" t="n">
        <x:f>'Solar Operations'!L7</x:f>
        <x:v>0.1549269897077984</x:v>
      </x:c>
      <x:c r="M4" s="42" t="n">
        <x:f>'Solar Operations'!M7</x:f>
        <x:v>0.11434386475384059</x:v>
      </x:c>
      <x:c r="N4" s="42" t="n">
        <x:f>'Solar Operations'!N7</x:f>
        <x:v>0.08439148938157205</x:v>
      </x:c>
      <x:c r="O4" s="42" t="n">
        <x:f>'Solar Operations'!O7</x:f>
        <x:v>0.06228513873806925</x:v>
      </x:c>
      <x:c r="P4" s="42" t="n">
        <x:f>'Solar Operations'!P7</x:f>
        <x:v>0.045969546645632</x:v>
      </x:c>
      <x:c r="Q4" s="42" t="n">
        <x:f>'Solar Operations'!Q7</x:f>
        <x:v>0.0339278239018087</x:v>
      </x:c>
      <x:c r="R4" s="42" t="n">
        <x:f>'Solar Operations'!R7</x:f>
        <x:v>0.025040430430729916</x:v>
      </x:c>
      <x:c r="S4" s="42" t="n">
        <x:f>'Solar Operations'!S7</x:f>
        <x:v>0.018481089679400216</x:v>
      </x:c>
      <x:c r="T4" s="42" t="n">
        <x:f>'Solar Operations'!T7</x:f>
        <x:v>0.01363996823788133</x:v>
      </x:c>
      <x:c r="U4" s="42" t="n">
        <x:f>'Solar Operations'!U7</x:f>
        <x:v>0.010066978557968318</x:v>
      </x:c>
      <x:c r="V4" s="42" t="n">
        <x:f>'Solar Operations'!V7</x:f>
        <x:v>0.007429933524708517</x:v>
      </x:c>
      <x:c r="W4" s="42" t="n">
        <x:f>'Solar Operations'!W7</x:f>
        <x:v>0.005483662437911119</x:v>
      </x:c>
      <x:c r="X4" s="42" t="n">
        <x:f>'Solar Operations'!X7</x:f>
        <x:v>0.004047217062300303</x:v>
      </x:c>
      <x:c r="Y4" s="42" t="n">
        <x:f>'Solar Operations'!Y7</x:f>
        <x:v>0.002987048552830738</x:v>
      </x:c>
      <x:c r="Z4" s="42" t="n">
        <x:f>'Solar Operations'!Z7</x:f>
        <x:v>0.002204591184416726</x:v>
      </x:c>
      <x:c r="AA4" s="42" t="n">
        <x:f>'Solar Operations'!AA7</x:f>
        <x:v>0.0016270985236587652</x:v>
      </x:c>
      <x:c r="AB4" s="42" t="n">
        <x:f>'Solar Operations'!AB7</x:f>
        <x:v>0.0012008800653863514</x:v>
      </x:c>
    </x:row>
    <x:row r="5">
      <x:c r="A5" t="str">
        <x:v>EBITDA</x:v>
      </x:c>
      <x:c r="B5" s="42" t="n">
        <x:f>'Solar Operations'!B10</x:f>
        <x:v>0</x:v>
      </x:c>
      <x:c r="C5" s="42" t="n">
        <x:f>'Solar Operations'!C10</x:f>
        <x:v>0</x:v>
      </x:c>
      <x:c r="D5" s="42" t="n">
        <x:f>'Solar Operations'!D10</x:f>
        <x:v>-0.6402912000000001</x:v>
      </x:c>
      <x:c r="E5" s="42" t="n">
        <x:f>'Solar Operations'!E10</x:f>
        <x:v>-1.1012469201600001</x:v>
      </x:c>
      <x:c r="F5" s="42" t="n">
        <x:f>'Solar Operations'!F10</x:f>
        <x:v>-1.441455289424088</x:v>
      </x:c>
      <x:c r="G5" s="42" t="n">
        <x:f>'Solar Operations'!G10</x:f>
        <x:v>-1.6925460763594482</x:v>
      </x:c>
      <x:c r="H5" s="42" t="n">
        <x:f>'Solar Operations'!H10</x:f>
        <x:v>-1.8778636316570907</x:v>
      </x:c>
      <x:c r="I5" s="42" t="n">
        <x:f>'Solar Operations'!I10</x:f>
        <x:v>-2.0146372533445156</x:v>
      </x:c>
      <x:c r="J5" s="42" t="n">
        <x:f>'Solar Operations'!J10</x:f>
        <x:v>-2.11558302483092</x:v>
      </x:c>
      <x:c r="K5" s="42" t="n">
        <x:f>'Solar Operations'!K10</x:f>
        <x:v>-2.1900860514764604</x:v>
      </x:c>
      <x:c r="L5" s="42" t="n">
        <x:f>'Solar Operations'!L10</x:f>
        <x:v>-2.2450730102922014</x:v>
      </x:c>
      <x:c r="M5" s="42" t="n">
        <x:f>'Solar Operations'!M10</x:f>
        <x:v>-2.2856561352461595</x:v>
      </x:c>
      <x:c r="N5" s="42" t="n">
        <x:f>'Solar Operations'!N10</x:f>
        <x:v>-2.3156085106184277</x:v>
      </x:c>
      <x:c r="O5" s="42" t="n">
        <x:f>'Solar Operations'!O10</x:f>
        <x:v>-2.3377148612619307</x:v>
      </x:c>
      <x:c r="P5" s="42" t="n">
        <x:f>'Solar Operations'!P10</x:f>
        <x:v>-2.354030453354368</x:v>
      </x:c>
      <x:c r="Q5" s="42" t="n">
        <x:f>'Solar Operations'!Q10</x:f>
        <x:v>-2.366072176098191</x:v>
      </x:c>
      <x:c r="R5" s="42" t="n">
        <x:f>'Solar Operations'!R10</x:f>
        <x:v>-2.37495956956927</x:v>
      </x:c>
      <x:c r="S5" s="42" t="n">
        <x:f>'Solar Operations'!S10</x:f>
        <x:v>-2.3815189103205996</x:v>
      </x:c>
      <x:c r="T5" s="42" t="n">
        <x:f>'Solar Operations'!T10</x:f>
        <x:v>-2.3863600317621185</x:v>
      </x:c>
      <x:c r="U5" s="42" t="n">
        <x:f>'Solar Operations'!U10</x:f>
        <x:v>-2.389933021442032</x:v>
      </x:c>
      <x:c r="V5" s="42" t="n">
        <x:f>'Solar Operations'!V10</x:f>
        <x:v>-2.3925700664752916</x:v>
      </x:c>
      <x:c r="W5" s="42" t="n">
        <x:f>'Solar Operations'!W10</x:f>
        <x:v>-2.394516337562089</x:v>
      </x:c>
      <x:c r="X5" s="42" t="n">
        <x:f>'Solar Operations'!X10</x:f>
        <x:v>-2.3959527829376994</x:v>
      </x:c>
      <x:c r="Y5" s="42" t="n">
        <x:f>'Solar Operations'!Y10</x:f>
        <x:v>-2.397012951447169</x:v>
      </x:c>
      <x:c r="Z5" s="42" t="n">
        <x:f>'Solar Operations'!Z10</x:f>
        <x:v>-2.397795408815583</x:v>
      </x:c>
      <x:c r="AA5" s="42" t="n">
        <x:f>'Solar Operations'!AA10</x:f>
        <x:v>-2.3983729014763413</x:v>
      </x:c>
      <x:c r="AB5" s="42" t="n">
        <x:f>'Solar Operations'!AB10</x:f>
        <x:v>-2.3987991199346137</x:v>
      </x:c>
    </x:row>
    <x:row r="6">
      <x:c r="A6" t="str">
        <x:v>Capex</x:v>
      </x:c>
      <x:c r="B6" s="42" t="n">
        <x:f>-'Build Schedule'!B7</x:f>
        <x:v>-0.14175000000000001</x:v>
      </x:c>
      <x:c r="C6" s="42" t="n">
        <x:f>-'Build Schedule'!C7</x:f>
        <x:v>-0.17325000000000002</x:v>
      </x:c>
      <x:c r="D6" s="42" t="n">
        <x:f>-'Build Schedule'!D7</x:f>
        <x:v>0</x:v>
      </x:c>
      <x:c r="E6" s="42" t="n">
        <x:f>-'Build Schedule'!E7</x:f>
        <x:v>0</x:v>
      </x:c>
      <x:c r="F6" s="42" t="n">
        <x:f>-'Build Schedule'!F7</x:f>
        <x:v>0</x:v>
      </x:c>
      <x:c r="G6" s="42" t="n">
        <x:f>-'Build Schedule'!G7</x:f>
        <x:v>0</x:v>
      </x:c>
      <x:c r="H6" s="42" t="n">
        <x:f>-'Build Schedule'!H7</x:f>
        <x:v>0</x:v>
      </x:c>
      <x:c r="I6" s="42" t="n">
        <x:f>-'Build Schedule'!I7</x:f>
        <x:v>0</x:v>
      </x:c>
      <x:c r="J6" s="42" t="n">
        <x:f>-'Build Schedule'!J7</x:f>
        <x:v>0</x:v>
      </x:c>
      <x:c r="K6" s="42" t="n">
        <x:f>-'Build Schedule'!K7</x:f>
        <x:v>0</x:v>
      </x:c>
      <x:c r="L6" s="42" t="n">
        <x:f>-'Build Schedule'!L7</x:f>
        <x:v>0</x:v>
      </x:c>
      <x:c r="M6" s="42" t="n">
        <x:f>-'Build Schedule'!M7</x:f>
        <x:v>0</x:v>
      </x:c>
      <x:c r="N6" s="42" t="n">
        <x:f>-'Build Schedule'!N7</x:f>
        <x:v>0</x:v>
      </x:c>
      <x:c r="O6" s="42" t="n">
        <x:f>-'Build Schedule'!O7</x:f>
        <x:v>0</x:v>
      </x:c>
      <x:c r="P6" s="42" t="n">
        <x:f>-'Build Schedule'!P7</x:f>
        <x:v>0</x:v>
      </x:c>
      <x:c r="Q6" s="42" t="n">
        <x:f>-'Build Schedule'!Q7</x:f>
        <x:v>0</x:v>
      </x:c>
      <x:c r="R6" s="42" t="n">
        <x:f>-'Build Schedule'!R7</x:f>
        <x:v>0</x:v>
      </x:c>
      <x:c r="S6" s="42" t="n">
        <x:f>-'Build Schedule'!S7</x:f>
        <x:v>0</x:v>
      </x:c>
      <x:c r="T6" s="42" t="n">
        <x:f>-'Build Schedule'!T7</x:f>
        <x:v>0</x:v>
      </x:c>
      <x:c r="U6" s="42" t="n">
        <x:f>-'Build Schedule'!U7</x:f>
        <x:v>0</x:v>
      </x:c>
      <x:c r="V6" s="42" t="n">
        <x:f>-'Build Schedule'!V7</x:f>
        <x:v>0</x:v>
      </x:c>
      <x:c r="W6" s="42" t="n">
        <x:f>-'Build Schedule'!W7</x:f>
        <x:v>0</x:v>
      </x:c>
      <x:c r="X6" s="42" t="n">
        <x:f>-'Build Schedule'!X7</x:f>
        <x:v>0</x:v>
      </x:c>
      <x:c r="Y6" s="42" t="n">
        <x:f>-'Build Schedule'!Y7</x:f>
        <x:v>0</x:v>
      </x:c>
      <x:c r="Z6" s="42" t="n">
        <x:f>-'Build Schedule'!Z7</x:f>
        <x:v>0</x:v>
      </x:c>
      <x:c r="AA6" s="42" t="n">
        <x:f>-'Build Schedule'!AA7</x:f>
        <x:v>0</x:v>
      </x:c>
      <x:c r="AB6" s="42" t="n">
        <x:f>-'Build Schedule'!AB7</x:f>
        <x:v>0</x:v>
      </x:c>
    </x:row>
    <x:row r="7">
      <x:c r="A7" t="str">
        <x:v>Tax</x:v>
      </x:c>
      <x:c r="B7" s="42" t="n">
        <x:f>-MAX(0,B5-'Debt Sculpting'!B7)*'Project Setup'!$C$25</x:f>
        <x:v>0</x:v>
      </x:c>
      <x:c r="C7" s="42" t="n">
        <x:f>-MAX(0,C5-'Debt Sculpting'!C7)*'Project Setup'!$C$25</x:f>
        <x:v>0</x:v>
      </x:c>
      <x:c r="D7" s="42" t="n">
        <x:f>-MAX(0,D5-'Debt Sculpting'!D7)*'Project Setup'!$C$25</x:f>
        <x:v>0</x:v>
      </x:c>
      <x:c r="E7" s="42" t="n">
        <x:f>-MAX(0,E5-'Debt Sculpting'!E7)*'Project Setup'!$C$25</x:f>
        <x:v>0</x:v>
      </x:c>
      <x:c r="F7" s="42" t="n">
        <x:f>-MAX(0,F5-'Debt Sculpting'!F7)*'Project Setup'!$C$25</x:f>
        <x:v>0</x:v>
      </x:c>
      <x:c r="G7" s="42" t="n">
        <x:f>-MAX(0,G5-'Debt Sculpting'!G7)*'Project Setup'!$C$25</x:f>
        <x:v>0</x:v>
      </x:c>
      <x:c r="H7" s="42" t="n">
        <x:f>-MAX(0,H5-'Debt Sculpting'!H7)*'Project Setup'!$C$25</x:f>
        <x:v>0</x:v>
      </x:c>
      <x:c r="I7" s="42" t="n">
        <x:f>-MAX(0,I5-'Debt Sculpting'!I7)*'Project Setup'!$C$25</x:f>
        <x:v>0</x:v>
      </x:c>
      <x:c r="J7" s="42" t="n">
        <x:f>-MAX(0,J5-'Debt Sculpting'!J7)*'Project Setup'!$C$25</x:f>
        <x:v>0</x:v>
      </x:c>
      <x:c r="K7" s="42" t="n">
        <x:f>-MAX(0,K5-'Debt Sculpting'!K7)*'Project Setup'!$C$25</x:f>
        <x:v>0</x:v>
      </x:c>
      <x:c r="L7" s="42" t="n">
        <x:f>-MAX(0,L5-'Debt Sculpting'!L7)*'Project Setup'!$C$25</x:f>
        <x:v>0</x:v>
      </x:c>
      <x:c r="M7" s="42" t="n">
        <x:f>-MAX(0,M5-'Debt Sculpting'!M7)*'Project Setup'!$C$25</x:f>
        <x:v>0</x:v>
      </x:c>
      <x:c r="N7" s="42" t="n">
        <x:f>-MAX(0,N5-'Debt Sculpting'!N7)*'Project Setup'!$C$25</x:f>
        <x:v>0</x:v>
      </x:c>
      <x:c r="O7" s="42" t="n">
        <x:f>-MAX(0,O5-'Debt Sculpting'!O7)*'Project Setup'!$C$25</x:f>
        <x:v>0</x:v>
      </x:c>
      <x:c r="P7" s="42" t="n">
        <x:f>-MAX(0,P5-'Debt Sculpting'!P7)*'Project Setup'!$C$25</x:f>
        <x:v>0</x:v>
      </x:c>
      <x:c r="Q7" s="42" t="n">
        <x:f>-MAX(0,Q5-'Debt Sculpting'!Q7)*'Project Setup'!$C$25</x:f>
        <x:v>0</x:v>
      </x:c>
      <x:c r="R7" s="42" t="n">
        <x:f>-MAX(0,R5-'Debt Sculpting'!R7)*'Project Setup'!$C$25</x:f>
        <x:v>0</x:v>
      </x:c>
      <x:c r="S7" s="42" t="n">
        <x:f>-MAX(0,S5-'Debt Sculpting'!S7)*'Project Setup'!$C$25</x:f>
        <x:v>0</x:v>
      </x:c>
      <x:c r="T7" s="42" t="n">
        <x:f>-MAX(0,T5-'Debt Sculpting'!T7)*'Project Setup'!$C$25</x:f>
        <x:v>0</x:v>
      </x:c>
      <x:c r="U7" s="42" t="n">
        <x:f>-MAX(0,U5-'Debt Sculpting'!U7)*'Project Setup'!$C$25</x:f>
        <x:v>0</x:v>
      </x:c>
      <x:c r="V7" s="42" t="n">
        <x:f>-MAX(0,V5-'Debt Sculpting'!V7)*'Project Setup'!$C$25</x:f>
        <x:v>0</x:v>
      </x:c>
      <x:c r="W7" s="42" t="n">
        <x:f>-MAX(0,W5-'Debt Sculpting'!W7)*'Project Setup'!$C$25</x:f>
        <x:v>0</x:v>
      </x:c>
      <x:c r="X7" s="42" t="n">
        <x:f>-MAX(0,X5-'Debt Sculpting'!X7)*'Project Setup'!$C$25</x:f>
        <x:v>0</x:v>
      </x:c>
      <x:c r="Y7" s="42" t="n">
        <x:f>-MAX(0,Y5-'Debt Sculpting'!Y7)*'Project Setup'!$C$25</x:f>
        <x:v>0</x:v>
      </x:c>
      <x:c r="Z7" s="42" t="n">
        <x:f>-MAX(0,Z5-'Debt Sculpting'!Z7)*'Project Setup'!$C$25</x:f>
        <x:v>0</x:v>
      </x:c>
      <x:c r="AA7" s="42" t="n">
        <x:f>-MAX(0,AA5-'Debt Sculpting'!AA7)*'Project Setup'!$C$25</x:f>
        <x:v>0</x:v>
      </x:c>
      <x:c r="AB7" s="42" t="n">
        <x:f>-MAX(0,AB5-'Debt Sculpting'!AB7)*'Project Setup'!$C$25</x:f>
        <x:v>0</x:v>
      </x:c>
    </x:row>
    <x:row r="8">
      <x:c r="A8" t="str">
        <x:v>CFADS</x:v>
      </x:c>
      <x:c r="B8" s="42" t="n">
        <x:f>B5+B7</x:f>
        <x:v>0</x:v>
      </x:c>
      <x:c r="C8" s="42" t="n">
        <x:f>C5+C7</x:f>
        <x:v>0</x:v>
      </x:c>
      <x:c r="D8" s="42" t="n">
        <x:f>D5+D7</x:f>
        <x:v>-0.6402912000000001</x:v>
      </x:c>
      <x:c r="E8" s="42" t="n">
        <x:f>E5+E7</x:f>
        <x:v>-1.1012469201600001</x:v>
      </x:c>
      <x:c r="F8" s="42" t="n">
        <x:f>F5+F7</x:f>
        <x:v>-1.441455289424088</x:v>
      </x:c>
      <x:c r="G8" s="42" t="n">
        <x:f>G5+G7</x:f>
        <x:v>-1.6925460763594482</x:v>
      </x:c>
      <x:c r="H8" s="42" t="n">
        <x:f>H5+H7</x:f>
        <x:v>-1.8778636316570907</x:v>
      </x:c>
      <x:c r="I8" s="42" t="n">
        <x:f>I5+I7</x:f>
        <x:v>-2.0146372533445156</x:v>
      </x:c>
      <x:c r="J8" s="42" t="n">
        <x:f>J5+J7</x:f>
        <x:v>-2.11558302483092</x:v>
      </x:c>
      <x:c r="K8" s="42" t="n">
        <x:f>K5+K7</x:f>
        <x:v>-2.1900860514764604</x:v>
      </x:c>
      <x:c r="L8" s="42" t="n">
        <x:f>L5+L7</x:f>
        <x:v>-2.2450730102922014</x:v>
      </x:c>
      <x:c r="M8" s="42" t="n">
        <x:f>M5+M7</x:f>
        <x:v>-2.2856561352461595</x:v>
      </x:c>
      <x:c r="N8" s="42" t="n">
        <x:f>N5+N7</x:f>
        <x:v>-2.3156085106184277</x:v>
      </x:c>
      <x:c r="O8" s="42" t="n">
        <x:f>O5+O7</x:f>
        <x:v>-2.3377148612619307</x:v>
      </x:c>
      <x:c r="P8" s="42" t="n">
        <x:f>P5+P7</x:f>
        <x:v>-2.354030453354368</x:v>
      </x:c>
      <x:c r="Q8" s="42" t="n">
        <x:f>Q5+Q7</x:f>
        <x:v>-2.366072176098191</x:v>
      </x:c>
      <x:c r="R8" s="42" t="n">
        <x:f>R5+R7</x:f>
        <x:v>-2.37495956956927</x:v>
      </x:c>
      <x:c r="S8" s="42" t="n">
        <x:f>S5+S7</x:f>
        <x:v>-2.3815189103205996</x:v>
      </x:c>
      <x:c r="T8" s="42" t="n">
        <x:f>T5+T7</x:f>
        <x:v>-2.3863600317621185</x:v>
      </x:c>
      <x:c r="U8" s="42" t="n">
        <x:f>U5+U7</x:f>
        <x:v>-2.389933021442032</x:v>
      </x:c>
      <x:c r="V8" s="42" t="n">
        <x:f>V5+V7</x:f>
        <x:v>-2.3925700664752916</x:v>
      </x:c>
      <x:c r="W8" s="42" t="n">
        <x:f>W5+W7</x:f>
        <x:v>-2.394516337562089</x:v>
      </x:c>
      <x:c r="X8" s="42" t="n">
        <x:f>X5+X7</x:f>
        <x:v>-2.3959527829376994</x:v>
      </x:c>
      <x:c r="Y8" s="42" t="n">
        <x:f>Y5+Y7</x:f>
        <x:v>-2.397012951447169</x:v>
      </x:c>
      <x:c r="Z8" s="42" t="n">
        <x:f>Z5+Z7</x:f>
        <x:v>-2.397795408815583</x:v>
      </x:c>
      <x:c r="AA8" s="42" t="n">
        <x:f>AA5+AA7</x:f>
        <x:v>-2.3983729014763413</x:v>
      </x:c>
      <x:c r="AB8" s="42" t="n">
        <x:f>AB5+AB7</x:f>
        <x:v>-2.3987991199346137</x:v>
      </x:c>
    </x:row>
    <x:row r="9">
      <x:c r="A9" t="str">
        <x:v>Debt service</x:v>
      </x:c>
      <x:c r="B9" s="42" t="n">
        <x:f>-'Debt Sculpting'!B8</x:f>
        <x:v>0</x:v>
      </x:c>
      <x:c r="C9" s="42" t="n">
        <x:f>-'Debt Sculpting'!C8</x:f>
        <x:v>0</x:v>
      </x:c>
      <x:c r="D9" s="42" t="n">
        <x:f>-'Debt Sculpting'!D8</x:f>
        <x:v>0</x:v>
      </x:c>
      <x:c r="E9" s="42" t="n">
        <x:f>-'Debt Sculpting'!E8</x:f>
        <x:v>0</x:v>
      </x:c>
      <x:c r="F9" s="42" t="n">
        <x:f>-'Debt Sculpting'!F8</x:f>
        <x:v>0</x:v>
      </x:c>
      <x:c r="G9" s="42" t="n">
        <x:f>-'Debt Sculpting'!G8</x:f>
        <x:v>0</x:v>
      </x:c>
      <x:c r="H9" s="42" t="n">
        <x:f>-'Debt Sculpting'!H8</x:f>
        <x:v>0</x:v>
      </x:c>
      <x:c r="I9" s="42" t="n">
        <x:f>-'Debt Sculpting'!I8</x:f>
        <x:v>0</x:v>
      </x:c>
      <x:c r="J9" s="42" t="n">
        <x:f>-'Debt Sculpting'!J8</x:f>
        <x:v>0</x:v>
      </x:c>
      <x:c r="K9" s="42" t="n">
        <x:f>-'Debt Sculpting'!K8</x:f>
        <x:v>0</x:v>
      </x:c>
      <x:c r="L9" s="42" t="n">
        <x:f>-'Debt Sculpting'!L8</x:f>
        <x:v>0</x:v>
      </x:c>
      <x:c r="M9" s="42" t="n">
        <x:f>-'Debt Sculpting'!M8</x:f>
        <x:v>0</x:v>
      </x:c>
      <x:c r="N9" s="42" t="n">
        <x:f>-'Debt Sculpting'!N8</x:f>
        <x:v>0</x:v>
      </x:c>
      <x:c r="O9" s="42" t="n">
        <x:f>-'Debt Sculpting'!O8</x:f>
        <x:v>0</x:v>
      </x:c>
      <x:c r="P9" s="42" t="n">
        <x:f>-'Debt Sculpting'!P8</x:f>
        <x:v>0</x:v>
      </x:c>
      <x:c r="Q9" s="42" t="n">
        <x:f>-'Debt Sculpting'!Q8</x:f>
        <x:v>0</x:v>
      </x:c>
      <x:c r="R9" s="42" t="n">
        <x:f>-'Debt Sculpting'!R8</x:f>
        <x:v>0</x:v>
      </x:c>
      <x:c r="S9" s="42" t="n">
        <x:f>-'Debt Sculpting'!S8</x:f>
        <x:v>0</x:v>
      </x:c>
      <x:c r="T9" s="42" t="n">
        <x:f>-'Debt Sculpting'!T8</x:f>
        <x:v>0</x:v>
      </x:c>
      <x:c r="U9" s="42" t="n">
        <x:f>-'Debt Sculpting'!U8</x:f>
        <x:v>0</x:v>
      </x:c>
      <x:c r="V9" s="42" t="n">
        <x:f>-'Debt Sculpting'!V8</x:f>
        <x:v>0</x:v>
      </x:c>
      <x:c r="W9" s="42" t="n">
        <x:f>-'Debt Sculpting'!W8</x:f>
        <x:v>0</x:v>
      </x:c>
      <x:c r="X9" s="42" t="n">
        <x:f>-'Debt Sculpting'!X8</x:f>
        <x:v>0</x:v>
      </x:c>
      <x:c r="Y9" s="42" t="n">
        <x:f>-'Debt Sculpting'!Y8</x:f>
        <x:v>0</x:v>
      </x:c>
      <x:c r="Z9" s="42" t="n">
        <x:f>-'Debt Sculpting'!Z8</x:f>
        <x:v>0</x:v>
      </x:c>
      <x:c r="AA9" s="42" t="n">
        <x:f>-'Debt Sculpting'!AA8</x:f>
        <x:v>0</x:v>
      </x:c>
      <x:c r="AB9" s="42" t="n">
        <x:f>-'Debt Sculpting'!AB8</x:f>
        <x:v>0</x:v>
      </x:c>
    </x:row>
    <x:row r="10">
      <x:c r="A10" t="str">
        <x:v>Equity cash flow</x:v>
      </x:c>
      <x:c r="B10" s="42" t="n">
        <x:f>B8+B9+('Debt Sculpting'!B5)-'Build Schedule'!B7</x:f>
        <x:v>-0.04252500000000001</x:v>
      </x:c>
      <x:c r="C10" s="42" t="n">
        <x:f>C8+C9+('Debt Sculpting'!C5)-'Build Schedule'!C7</x:f>
        <x:v>-0.05197500000000001</x:v>
      </x:c>
      <x:c r="D10" s="42" t="n">
        <x:f>D8+D9+('Debt Sculpting'!D5)-'Build Schedule'!D7</x:f>
        <x:v>-0.6402912000000001</x:v>
      </x:c>
      <x:c r="E10" s="42" t="n">
        <x:f>E8+E9+('Debt Sculpting'!E5)-'Build Schedule'!E7</x:f>
        <x:v>-1.1012469201600001</x:v>
      </x:c>
      <x:c r="F10" s="42" t="n">
        <x:f>F8+F9+('Debt Sculpting'!F5)-'Build Schedule'!F7</x:f>
        <x:v>-1.441455289424088</x:v>
      </x:c>
      <x:c r="G10" s="42" t="n">
        <x:f>G8+G9+('Debt Sculpting'!G5)-'Build Schedule'!G7</x:f>
        <x:v>-1.6925460763594482</x:v>
      </x:c>
      <x:c r="H10" s="42" t="n">
        <x:f>H8+H9+('Debt Sculpting'!H5)-'Build Schedule'!H7</x:f>
        <x:v>-1.8778636316570907</x:v>
      </x:c>
      <x:c r="I10" s="42" t="n">
        <x:f>I8+I9+('Debt Sculpting'!I5)-'Build Schedule'!I7</x:f>
        <x:v>-2.0146372533445156</x:v>
      </x:c>
      <x:c r="J10" s="42" t="n">
        <x:f>J8+J9+('Debt Sculpting'!J5)-'Build Schedule'!J7</x:f>
        <x:v>-2.11558302483092</x:v>
      </x:c>
      <x:c r="K10" s="42" t="n">
        <x:f>K8+K9+('Debt Sculpting'!K5)-'Build Schedule'!K7</x:f>
        <x:v>-2.1900860514764604</x:v>
      </x:c>
      <x:c r="L10" s="42" t="n">
        <x:f>L8+L9+('Debt Sculpting'!L5)-'Build Schedule'!L7</x:f>
        <x:v>-2.2450730102922014</x:v>
      </x:c>
      <x:c r="M10" s="42" t="n">
        <x:f>M8+M9+('Debt Sculpting'!M5)-'Build Schedule'!M7</x:f>
        <x:v>-2.2856561352461595</x:v>
      </x:c>
      <x:c r="N10" s="42" t="n">
        <x:f>N8+N9+('Debt Sculpting'!N5)-'Build Schedule'!N7</x:f>
        <x:v>-2.3156085106184277</x:v>
      </x:c>
      <x:c r="O10" s="42" t="n">
        <x:f>O8+O9+('Debt Sculpting'!O5)-'Build Schedule'!O7</x:f>
        <x:v>-2.3377148612619307</x:v>
      </x:c>
      <x:c r="P10" s="42" t="n">
        <x:f>P8+P9+('Debt Sculpting'!P5)-'Build Schedule'!P7</x:f>
        <x:v>-2.354030453354368</x:v>
      </x:c>
      <x:c r="Q10" s="42" t="n">
        <x:f>Q8+Q9+('Debt Sculpting'!Q5)-'Build Schedule'!Q7</x:f>
        <x:v>-2.366072176098191</x:v>
      </x:c>
      <x:c r="R10" s="42" t="n">
        <x:f>R8+R9+('Debt Sculpting'!R5)-'Build Schedule'!R7</x:f>
        <x:v>-2.37495956956927</x:v>
      </x:c>
      <x:c r="S10" s="42" t="n">
        <x:f>S8+S9+('Debt Sculpting'!S5)-'Build Schedule'!S7</x:f>
        <x:v>-2.3815189103205996</x:v>
      </x:c>
      <x:c r="T10" s="42" t="n">
        <x:f>T8+T9+('Debt Sculpting'!T5)-'Build Schedule'!T7</x:f>
        <x:v>-2.3863600317621185</x:v>
      </x:c>
      <x:c r="U10" s="42" t="n">
        <x:f>U8+U9+('Debt Sculpting'!U5)-'Build Schedule'!U7</x:f>
        <x:v>-2.389933021442032</x:v>
      </x:c>
      <x:c r="V10" s="42" t="n">
        <x:f>V8+V9+('Debt Sculpting'!V5)-'Build Schedule'!V7</x:f>
        <x:v>-2.3925700664752916</x:v>
      </x:c>
      <x:c r="W10" s="42" t="n">
        <x:f>W8+W9+('Debt Sculpting'!W5)-'Build Schedule'!W7</x:f>
        <x:v>-2.394516337562089</x:v>
      </x:c>
      <x:c r="X10" s="42" t="n">
        <x:f>X8+X9+('Debt Sculpting'!X5)-'Build Schedule'!X7</x:f>
        <x:v>-2.3959527829376994</x:v>
      </x:c>
      <x:c r="Y10" s="42" t="n">
        <x:f>Y8+Y9+('Debt Sculpting'!Y5)-'Build Schedule'!Y7</x:f>
        <x:v>-2.397012951447169</x:v>
      </x:c>
      <x:c r="Z10" s="42" t="n">
        <x:f>Z8+Z9+('Debt Sculpting'!Z5)-'Build Schedule'!Z7</x:f>
        <x:v>-2.397795408815583</x:v>
      </x:c>
      <x:c r="AA10" s="42" t="n">
        <x:f>AA8+AA9+('Debt Sculpting'!AA5)-'Build Schedule'!AA7</x:f>
        <x:v>-2.3983729014763413</x:v>
      </x:c>
      <x:c r="AB10" s="42" t="n">
        <x:f>AB8+AB9+('Debt Sculpting'!AB5)-'Build Schedule'!AB7</x:f>
        <x:v>-2.3987991199346137</x:v>
      </x:c>
    </x:row>
    <x:row r="11">
      <x:c r="A11" t="str">
        <x:v>DSCR</x:v>
      </x:c>
      <x:c r="B11" s="46" t="n">
        <x:f>IFERROR(B8/'Debt Sculpting'!B8,0)</x:f>
        <x:v>0</x:v>
      </x:c>
      <x:c r="C11" s="46" t="n">
        <x:f>IFERROR(C8/'Debt Sculpting'!C8,0)</x:f>
        <x:v>0</x:v>
      </x:c>
      <x:c r="D11" s="46" t="n">
        <x:f>IFERROR(D8/'Debt Sculpting'!D8,0)</x:f>
        <x:v>0</x:v>
      </x:c>
      <x:c r="E11" s="46" t="n">
        <x:f>IFERROR(E8/'Debt Sculpting'!E8,0)</x:f>
        <x:v>0</x:v>
      </x:c>
      <x:c r="F11" s="46" t="n">
        <x:f>IFERROR(F8/'Debt Sculpting'!F8,0)</x:f>
        <x:v>0</x:v>
      </x:c>
      <x:c r="G11" s="46" t="n">
        <x:f>IFERROR(G8/'Debt Sculpting'!G8,0)</x:f>
        <x:v>0</x:v>
      </x:c>
      <x:c r="H11" s="46" t="n">
        <x:f>IFERROR(H8/'Debt Sculpting'!H8,0)</x:f>
        <x:v>0</x:v>
      </x:c>
      <x:c r="I11" s="46" t="n">
        <x:f>IFERROR(I8/'Debt Sculpting'!I8,0)</x:f>
        <x:v>0</x:v>
      </x:c>
      <x:c r="J11" s="46" t="n">
        <x:f>IFERROR(J8/'Debt Sculpting'!J8,0)</x:f>
        <x:v>0</x:v>
      </x:c>
      <x:c r="K11" s="46" t="n">
        <x:f>IFERROR(K8/'Debt Sculpting'!K8,0)</x:f>
        <x:v>0</x:v>
      </x:c>
      <x:c r="L11" s="46" t="n">
        <x:f>IFERROR(L8/'Debt Sculpting'!L8,0)</x:f>
        <x:v>0</x:v>
      </x:c>
      <x:c r="M11" s="46" t="n">
        <x:f>IFERROR(M8/'Debt Sculpting'!M8,0)</x:f>
        <x:v>0</x:v>
      </x:c>
      <x:c r="N11" s="46" t="n">
        <x:f>IFERROR(N8/'Debt Sculpting'!N8,0)</x:f>
        <x:v>0</x:v>
      </x:c>
      <x:c r="O11" s="46" t="n">
        <x:f>IFERROR(O8/'Debt Sculpting'!O8,0)</x:f>
        <x:v>0</x:v>
      </x:c>
      <x:c r="P11" s="46" t="n">
        <x:f>IFERROR(P8/'Debt Sculpting'!P8,0)</x:f>
        <x:v>0</x:v>
      </x:c>
      <x:c r="Q11" s="46" t="n">
        <x:f>IFERROR(Q8/'Debt Sculpting'!Q8,0)</x:f>
        <x:v>0</x:v>
      </x:c>
      <x:c r="R11" s="46" t="n">
        <x:f>IFERROR(R8/'Debt Sculpting'!R8,0)</x:f>
        <x:v>0</x:v>
      </x:c>
      <x:c r="S11" s="46" t="n">
        <x:f>IFERROR(S8/'Debt Sculpting'!S8,0)</x:f>
        <x:v>0</x:v>
      </x:c>
      <x:c r="T11" s="46" t="n">
        <x:f>IFERROR(T8/'Debt Sculpting'!T8,0)</x:f>
        <x:v>0</x:v>
      </x:c>
      <x:c r="U11" s="46" t="n">
        <x:f>IFERROR(U8/'Debt Sculpting'!U8,0)</x:f>
        <x:v>0</x:v>
      </x:c>
      <x:c r="V11" s="46" t="n">
        <x:f>IFERROR(V8/'Debt Sculpting'!V8,0)</x:f>
        <x:v>0</x:v>
      </x:c>
      <x:c r="W11" s="46" t="n">
        <x:f>IFERROR(W8/'Debt Sculpting'!W8,0)</x:f>
        <x:v>0</x:v>
      </x:c>
      <x:c r="X11" s="46" t="n">
        <x:f>IFERROR(X8/'Debt Sculpting'!X8,0)</x:f>
        <x:v>0</x:v>
      </x:c>
      <x:c r="Y11" s="46" t="n">
        <x:f>IFERROR(Y8/'Debt Sculpting'!Y8,0)</x:f>
        <x:v>0</x:v>
      </x:c>
      <x:c r="Z11" s="46" t="n">
        <x:f>IFERROR(Z8/'Debt Sculpting'!Z8,0)</x:f>
        <x:v>0</x:v>
      </x:c>
      <x:c r="AA11" s="46" t="n">
        <x:f>IFERROR(AA8/'Debt Sculpting'!AA8,0)</x:f>
        <x:v>0</x:v>
      </x:c>
      <x:c r="AB11" s="46" t="n">
        <x:f>IFERROR(AB8/'Debt Sculpting'!AB8,0)</x:f>
        <x:v>0</x:v>
      </x:c>
    </x:row>
  </x:sheetData>
  <x:mergeCells>
    <x:mergeCell ref="A1:A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 ht="26" customHeight="1">
      <x:c r="A1" s="5" t="str">
        <x:v>Investor Returns Summary</x:v>
      </x:c>
    </x:row>
    <x:row r="3">
      <x:c r="A3" s="12" t="str">
        <x:v>Key Outputs</x:v>
      </x:c>
      <x:c r="B3" s="12"/>
      <x:c r="C3" s="12"/>
      <x:c r="D3" s="12"/>
      <x:c r="E3" s="12"/>
      <x:c r="F3" s="12"/>
    </x:row>
    <x:row r="4">
      <x:c r="A4" s="20" t="str">
        <x:v>Metric</x:v>
      </x:c>
      <x:c r="B4" s="20" t="str">
        <x:v>Value</x:v>
      </x:c>
    </x:row>
    <x:row r="5">
      <x:c r="A5" t="str">
        <x:v>Total project cost</x:v>
      </x:c>
      <x:c r="B5" s="50" t="n">
        <x:f>MAX('Build Schedule'!B8:AB8)</x:f>
        <x:v>0.31500000000000006</x:v>
      </x:c>
    </x:row>
    <x:row r="6">
      <x:c r="A6" t="str">
        <x:v>Peak debt</x:v>
      </x:c>
      <x:c r="B6" s="50" t="n">
        <x:f>MAX('Debt Sculpting'!B10:AB10)</x:f>
        <x:v>0.22050000000000003</x:v>
      </x:c>
    </x:row>
    <x:row r="7">
      <x:c r="A7" t="str">
        <x:v>Minimum DSCR</x:v>
      </x:c>
      <x:c r="B7" s="52" t="n">
        <x:f>MINIFS('Cash Flow'!B11:AB11,'Cash Flow'!B11:AB11,"&gt;0")</x:f>
        <x:v>0</x:v>
      </x:c>
    </x:row>
    <x:row r="8">
      <x:c r="A8" t="str">
        <x:v>Project IRR</x:v>
      </x:c>
      <x:c r="B8" s="54" t="e">
        <x:f>IRR('Cash Flow'!B6:AB6+'Cash Flow'!B8:AB8)</x:f>
      </x:c>
    </x:row>
    <x:row r="9">
      <x:c r="A9" t="str">
        <x:v>Equity IRR</x:v>
      </x:c>
      <x:c r="B9" s="54" t="e">
        <x:f>IRR('Cash Flow'!B10:AB10)</x:f>
      </x:c>
    </x:row>
    <x:row r="10">
      <x:c r="A10" t="str">
        <x:v>Average EBITDA margin</x:v>
      </x:c>
      <x:c r="B10" s="54" t="n">
        <x:f>AVERAGE('Solar Operations'!B11:AB11)</x:f>
        <x:v>-281.5039555072965</x:v>
      </x:c>
    </x:row>
  </x:sheetData>
  <x:mergeCells>
    <x:mergeCell ref="A1:F1"/>
    <x:mergeCell ref="A3:F3"/>
  </x:mergeCells>
  <x:pageMargins left="0.7" right="0.7" top="0.75" bottom="0.75" header="0.3" footer="0.3"/>
</x:worksheet>
</file>