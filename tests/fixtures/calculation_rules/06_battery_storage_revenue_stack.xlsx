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7190a2b04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Setup" sheetId="1" r:id="R0de7f55530294efe"/>
    <x:sheet xmlns:r="http://schemas.openxmlformats.org/officeDocument/2006/relationships" name="Revenue Stack" sheetId="2" r:id="Rf06971295e38451f"/>
    <x:sheet xmlns:r="http://schemas.openxmlformats.org/officeDocument/2006/relationships" name="Degradation" sheetId="3" r:id="Ra8182f18f2b84714"/>
    <x:sheet xmlns:r="http://schemas.openxmlformats.org/officeDocument/2006/relationships" name="Capex Opex" sheetId="4" r:id="Rf85e8440f4d14700"/>
    <x:sheet xmlns:r="http://schemas.openxmlformats.org/officeDocument/2006/relationships" name="Funding" sheetId="5" r:id="Rbf021007e4184af1"/>
    <x:sheet xmlns:r="http://schemas.openxmlformats.org/officeDocument/2006/relationships" name="Returns" sheetId="6" r:id="R25bdb062fab440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0.0x;[Red](0.0x);-"/>
    <x:numFmt numFmtId="202" formatCode="#,##0.0;[Red](#,##0.0);-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4">
    <x:border/>
    <x:border/>
    <x:border>
      <x:bottom style="thin">
        <x:color rgb="FF808080"/>
      </x:bottom>
    </x:border>
    <x:border>
      <x:bottom style="thin">
        <x:color rgb="FF808080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4de92ee9a45db" /><Relationship Type="http://schemas.openxmlformats.org/officeDocument/2006/relationships/theme" Target="/xl/theme/theme1.xml" Id="Rf297cfdf213148f7" /><Relationship Type="http://schemas.openxmlformats.org/officeDocument/2006/relationships/sharedStrings" Target="/xl/sharedStrings.xml" Id="R94ec2cedd2a74e49" /><Relationship Type="http://schemas.openxmlformats.org/officeDocument/2006/relationships/worksheet" Target="/xl/worksheets/sheet1.xml" Id="R0de7f55530294efe" /><Relationship Type="http://schemas.openxmlformats.org/officeDocument/2006/relationships/worksheet" Target="/xl/worksheets/sheet2.xml" Id="Rf06971295e38451f" /><Relationship Type="http://schemas.openxmlformats.org/officeDocument/2006/relationships/worksheet" Target="/xl/worksheets/sheet3.xml" Id="Ra8182f18f2b84714" /><Relationship Type="http://schemas.openxmlformats.org/officeDocument/2006/relationships/worksheet" Target="/xl/worksheets/sheet4.xml" Id="Rf85e8440f4d14700" /><Relationship Type="http://schemas.openxmlformats.org/officeDocument/2006/relationships/worksheet" Target="/xl/worksheets/sheet5.xml" Id="Rbf021007e4184af1" /><Relationship Type="http://schemas.openxmlformats.org/officeDocument/2006/relationships/worksheet" Target="/xl/worksheets/sheet6.xml" Id="R25bdb062fab440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6" hidden="0" customWidth="1"/>
  </x:cols>
  <x:sheetData>
    <x:row r="1" ht="26" customHeight="1">
      <x:c r="A1" s="5" t="str">
        <x:v>Battery Energy Storage Project Finance</x:v>
      </x:c>
    </x:row>
    <x:row r="3">
      <x:c r="A3" s="14" t="str">
        <x:v>Input</x:v>
      </x:c>
      <x:c r="B3" s="14" t="str">
        <x:v>Unit</x:v>
      </x:c>
      <x:c r="C3" s="14" t="str">
        <x:v>Base</x:v>
      </x:c>
    </x:row>
    <x:row r="4">
      <x:c r="A4" t="str">
        <x:v>Power rating</x:v>
      </x:c>
      <x:c r="B4" t="str">
        <x:v>MW</x:v>
      </x:c>
      <x:c r="C4" s="22" t="n">
        <x:v>120</x:v>
      </x:c>
    </x:row>
    <x:row r="5">
      <x:c r="A5" t="str">
        <x:v>Energy duration</x:v>
      </x:c>
      <x:c r="B5" t="str">
        <x:v>Hours</x:v>
      </x:c>
      <x:c r="C5" s="22" t="n">
        <x:v>4</x:v>
      </x:c>
    </x:row>
    <x:row r="6">
      <x:c r="A6" t="str">
        <x:v>Round-trip efficiency</x:v>
      </x:c>
      <x:c r="B6" t="str">
        <x:v>%</x:v>
      </x:c>
      <x:c r="C6" s="24" t="n">
        <x:v>0.86</x:v>
      </x:c>
    </x:row>
    <x:row r="7">
      <x:c r="A7" t="str">
        <x:v>Initial availability</x:v>
      </x:c>
      <x:c r="B7" t="str">
        <x:v>%</x:v>
      </x:c>
      <x:c r="C7" s="24" t="n">
        <x:v>0.96</x:v>
      </x:c>
    </x:row>
    <x:row r="8">
      <x:c r="A8" t="str">
        <x:v>Annual availability fade</x:v>
      </x:c>
      <x:c r="B8" t="str">
        <x:v>%</x:v>
      </x:c>
      <x:c r="C8" s="24" t="n">
        <x:v>0.004</x:v>
      </x:c>
    </x:row>
    <x:row r="9">
      <x:c r="A9" t="str">
        <x:v>Merchant cycles per day</x:v>
      </x:c>
      <x:c r="B9" t="str">
        <x:v>cycles</x:v>
      </x:c>
      <x:c r="C9" s="22" t="n">
        <x:v>1.4</x:v>
      </x:c>
    </x:row>
    <x:row r="10">
      <x:c r="A10" t="str">
        <x:v>Capacity market contract</x:v>
      </x:c>
      <x:c r="B10" t="str">
        <x:v>Years</x:v>
      </x:c>
      <x:c r="C10" s="22" t="n">
        <x:v>10</x:v>
      </x:c>
    </x:row>
    <x:row r="11">
      <x:c r="A11" t="str">
        <x:v>COD year</x:v>
      </x:c>
      <x:c r="B11" t="str">
        <x:v>Year</x:v>
      </x:c>
      <x:c r="C11" s="22" t="n">
        <x:v>2028</x:v>
      </x:c>
    </x:row>
    <x:row r="12">
      <x:c r="A12" t="str">
        <x:v>Operating life</x:v>
      </x:c>
      <x:c r="B12" t="str">
        <x:v>Years</x:v>
      </x:c>
      <x:c r="C12" s="22" t="n">
        <x:v>20</x:v>
      </x:c>
    </x:row>
    <x:row r="13">
      <x:c r="A13" t="str">
        <x:v>Debt share</x:v>
      </x:c>
      <x:c r="B13" t="str">
        <x:v>%</x:v>
      </x:c>
      <x:c r="C13" s="24" t="n">
        <x:v>0.62</x:v>
      </x:c>
    </x:row>
    <x:row r="14">
      <x:c r="A14" t="str">
        <x:v>Debt margin</x:v>
      </x:c>
      <x:c r="B14" t="str">
        <x:v>%</x:v>
      </x:c>
      <x:c r="C14" s="24" t="n">
        <x:v>0.029</x:v>
      </x:c>
    </x:row>
    <x:row r="15">
      <x:c r="A15" t="str">
        <x:v>Base rate</x:v>
      </x:c>
      <x:c r="B15" t="str">
        <x:v>%</x:v>
      </x:c>
      <x:c r="C15" s="24" t="n">
        <x:v>0.033</x:v>
      </x:c>
    </x:row>
    <x:row r="16">
      <x:c r="A16" t="str">
        <x:v>Minimum LLCR</x:v>
      </x:c>
      <x:c r="B16" t="str">
        <x:v>x</x:v>
      </x:c>
      <x:c r="C16" s="26" t="n">
        <x:v>1.45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16" hidden="0" customWidth="1"/>
  </x:cols>
  <x:sheetData>
    <x:row r="1" ht="26" customHeight="1">
      <x:c r="A1" s="5" t="str">
        <x:v>Stacked Revenue Forecast</x:v>
      </x:c>
    </x:row>
    <x:row r="3">
      <x:c r="A3" s="14" t="str">
        <x:v>Revenue driver</x:v>
      </x:c>
      <x:c r="B3" s="14" t="str">
        <x:v>Unit</x:v>
      </x:c>
      <x:c r="C3" s="14" t="str">
        <x:v>Value</x:v>
      </x:c>
    </x:row>
    <x:row r="4">
      <x:c r="A4" t="str">
        <x:v>Energy arbitrage spread</x:v>
      </x:c>
      <x:c r="B4" t="str">
        <x:v>$/MWh</x:v>
      </x:c>
      <x:c r="C4" s="22" t="n">
        <x:v>54</x:v>
      </x:c>
    </x:row>
    <x:row r="5">
      <x:c r="A5" t="str">
        <x:v>Ancillary service revenue</x:v>
      </x:c>
      <x:c r="B5" t="str">
        <x:v>$k/MW-year</x:v>
      </x:c>
      <x:c r="C5" s="22" t="n">
        <x:v>46</x:v>
      </x:c>
    </x:row>
    <x:row r="6">
      <x:c r="A6" t="str">
        <x:v>Capacity payment</x:v>
      </x:c>
      <x:c r="B6" t="str">
        <x:v>$k/MW-year</x:v>
      </x:c>
      <x:c r="C6" s="22" t="n">
        <x:v>62</x:v>
      </x:c>
    </x:row>
    <x:row r="7">
      <x:c r="A7" t="str">
        <x:v>Arbitrage spread growth</x:v>
      </x:c>
      <x:c r="B7" t="str">
        <x:v>%</x:v>
      </x:c>
      <x:c r="C7" s="24" t="n">
        <x:v>0.018</x:v>
      </x:c>
    </x:row>
    <x:row r="8">
      <x:c r="A8" t="str">
        <x:v>Ancillary decay</x:v>
      </x:c>
      <x:c r="B8" t="str">
        <x:v>%</x:v>
      </x:c>
      <x:c r="C8" s="24" t="n">
        <x:v>0.025</x:v>
      </x:c>
    </x:row>
    <x:row r="9">
      <x:c r="A9" t="str">
        <x:v>Capacity contract haircut after expiry</x:v>
      </x:c>
      <x:c r="B9" t="str">
        <x:v>%</x:v>
      </x:c>
      <x:c r="C9" s="24" t="n">
        <x:v>0.35</x:v>
      </x:c>
    </x:row>
    <x:row r="10">
      <x:c r="A10" t="str">
        <x:v>Grid congestion uplift</x:v>
      </x:c>
      <x:c r="B10" t="str">
        <x:v>%</x:v>
      </x:c>
      <x:c r="C10" s="24" t="n">
        <x:v>0.08</x:v>
      </x:c>
    </x:row>
    <x:row r="12">
      <x:c r="A12" s="14" t="str">
        <x:v>Metric</x:v>
      </x:c>
      <x:c r="B12" s="14" t="n">
        <x:v>2027</x:v>
      </x:c>
      <x:c r="C12" s="14" t="n">
        <x:v>2028</x:v>
      </x:c>
      <x:c r="D12" s="14" t="n">
        <x:v>2029</x:v>
      </x:c>
      <x:c r="E12" s="14" t="n">
        <x:v>2030</x:v>
      </x:c>
      <x:c r="F12" s="14" t="n">
        <x:v>2031</x:v>
      </x:c>
      <x:c r="G12" s="14" t="n">
        <x:v>2032</x:v>
      </x:c>
      <x:c r="H12" s="14" t="n">
        <x:v>2033</x:v>
      </x:c>
      <x:c r="I12" s="14" t="n">
        <x:v>2034</x:v>
      </x:c>
      <x:c r="J12" s="14" t="n">
        <x:v>2035</x:v>
      </x:c>
      <x:c r="K12" s="14" t="n">
        <x:v>2036</x:v>
      </x:c>
      <x:c r="L12" s="14" t="n">
        <x:v>2037</x:v>
      </x:c>
      <x:c r="M12" s="14" t="n">
        <x:v>2038</x:v>
      </x:c>
      <x:c r="N12" s="14" t="n">
        <x:v>2039</x:v>
      </x:c>
      <x:c r="O12" s="14" t="n">
        <x:v>2040</x:v>
      </x:c>
      <x:c r="P12" s="14" t="n">
        <x:v>2041</x:v>
      </x:c>
      <x:c r="Q12" s="14" t="n">
        <x:v>2042</x:v>
      </x:c>
      <x:c r="R12" s="14" t="n">
        <x:v>2043</x:v>
      </x:c>
      <x:c r="S12" s="14" t="n">
        <x:v>2044</x:v>
      </x:c>
      <x:c r="T12" s="14" t="n">
        <x:v>2045</x:v>
      </x:c>
      <x:c r="U12" s="14" t="n">
        <x:v>2046</x:v>
      </x:c>
      <x:c r="V12" s="14" t="n">
        <x:v>2047</x:v>
      </x:c>
      <x:c r="W12" s="14" t="n">
        <x:v>2048</x:v>
      </x:c>
    </x:row>
    <x:row r="13">
      <x:c r="A13" t="str">
        <x:v>Available MWh</x:v>
      </x:c>
      <x:c r="B13" s="30" t="e">
        <x:f>'Model Setup'!$C$4*'Model Setup'!$C$5*365*'Model Setup'!$C$6*'Degradation'!B5</x:f>
      </x:c>
      <x:c r="C13" s="30" t="n">
        <x:f>'Model Setup'!$C$4*'Model Setup'!$C$5*365*'Model Setup'!$C$6*'Degradation'!C5</x:f>
        <x:v>306768192</x:v>
      </x:c>
      <x:c r="D13" s="30" t="n">
        <x:f>'Model Setup'!$C$4*'Model Setup'!$C$5*365*'Model Setup'!$C$6*'Degradation'!D5</x:f>
        <x:v>0</x:v>
      </x:c>
      <x:c r="E13" s="30" t="n">
        <x:f>'Model Setup'!$C$4*'Model Setup'!$C$5*365*'Model Setup'!$C$6*'Degradation'!E5</x:f>
        <x:v>0</x:v>
      </x:c>
      <x:c r="F13" s="30" t="n">
        <x:f>'Model Setup'!$C$4*'Model Setup'!$C$5*365*'Model Setup'!$C$6*'Degradation'!F5</x:f>
        <x:v>0</x:v>
      </x:c>
      <x:c r="G13" s="30" t="n">
        <x:f>'Model Setup'!$C$4*'Model Setup'!$C$5*365*'Model Setup'!$C$6*'Degradation'!G5</x:f>
        <x:v>0</x:v>
      </x:c>
      <x:c r="H13" s="30" t="n">
        <x:f>'Model Setup'!$C$4*'Model Setup'!$C$5*365*'Model Setup'!$C$6*'Degradation'!H5</x:f>
        <x:v>0</x:v>
      </x:c>
      <x:c r="I13" s="30" t="n">
        <x:f>'Model Setup'!$C$4*'Model Setup'!$C$5*365*'Model Setup'!$C$6*'Degradation'!I5</x:f>
        <x:v>0</x:v>
      </x:c>
      <x:c r="J13" s="30" t="n">
        <x:f>'Model Setup'!$C$4*'Model Setup'!$C$5*365*'Model Setup'!$C$6*'Degradation'!J5</x:f>
        <x:v>0</x:v>
      </x:c>
      <x:c r="K13" s="30" t="n">
        <x:f>'Model Setup'!$C$4*'Model Setup'!$C$5*365*'Model Setup'!$C$6*'Degradation'!K5</x:f>
        <x:v>0</x:v>
      </x:c>
      <x:c r="L13" s="30" t="n">
        <x:f>'Model Setup'!$C$4*'Model Setup'!$C$5*365*'Model Setup'!$C$6*'Degradation'!L5</x:f>
        <x:v>0</x:v>
      </x:c>
      <x:c r="M13" s="30" t="n">
        <x:f>'Model Setup'!$C$4*'Model Setup'!$C$5*365*'Model Setup'!$C$6*'Degradation'!M5</x:f>
        <x:v>0</x:v>
      </x:c>
      <x:c r="N13" s="30" t="n">
        <x:f>'Model Setup'!$C$4*'Model Setup'!$C$5*365*'Model Setup'!$C$6*'Degradation'!N5</x:f>
        <x:v>0</x:v>
      </x:c>
      <x:c r="O13" s="30" t="n">
        <x:f>'Model Setup'!$C$4*'Model Setup'!$C$5*365*'Model Setup'!$C$6*'Degradation'!O5</x:f>
        <x:v>0</x:v>
      </x:c>
      <x:c r="P13" s="30" t="n">
        <x:f>'Model Setup'!$C$4*'Model Setup'!$C$5*365*'Model Setup'!$C$6*'Degradation'!P5</x:f>
        <x:v>0</x:v>
      </x:c>
      <x:c r="Q13" s="30" t="n">
        <x:f>'Model Setup'!$C$4*'Model Setup'!$C$5*365*'Model Setup'!$C$6*'Degradation'!Q5</x:f>
        <x:v>0</x:v>
      </x:c>
      <x:c r="R13" s="30" t="n">
        <x:f>'Model Setup'!$C$4*'Model Setup'!$C$5*365*'Model Setup'!$C$6*'Degradation'!R5</x:f>
        <x:v>0</x:v>
      </x:c>
      <x:c r="S13" s="30" t="n">
        <x:f>'Model Setup'!$C$4*'Model Setup'!$C$5*365*'Model Setup'!$C$6*'Degradation'!S5</x:f>
        <x:v>0</x:v>
      </x:c>
      <x:c r="T13" s="30" t="n">
        <x:f>'Model Setup'!$C$4*'Model Setup'!$C$5*365*'Model Setup'!$C$6*'Degradation'!T5</x:f>
        <x:v>0</x:v>
      </x:c>
      <x:c r="U13" s="30" t="n">
        <x:f>'Model Setup'!$C$4*'Model Setup'!$C$5*365*'Model Setup'!$C$6*'Degradation'!U5</x:f>
        <x:v>0</x:v>
      </x:c>
      <x:c r="V13" s="30" t="n">
        <x:f>'Model Setup'!$C$4*'Model Setup'!$C$5*365*'Model Setup'!$C$6*'Degradation'!V5</x:f>
        <x:v>0</x:v>
      </x:c>
      <x:c r="W13" s="30" t="n">
        <x:f>'Model Setup'!$C$4*'Model Setup'!$C$5*365*'Model Setup'!$C$6*'Degradation'!W5</x:f>
        <x:v>0</x:v>
      </x:c>
    </x:row>
    <x:row r="14">
      <x:c r="A14" t="str">
        <x:v>Arbitrage revenue</x:v>
      </x:c>
      <x:c r="B14" s="30" t="e">
        <x:f>B13*'Model Setup'!$C$9*$C$4*(1+$C$7)^MAX(0,B$12-'Model Setup'!$C$11)/1000000</x:f>
      </x:c>
      <x:c r="C14" s="30" t="n">
        <x:f>C13*'Model Setup'!$C$9*$C$4*(1+$C$7)^MAX(0,C$12-'Model Setup'!$C$11)/1000000</x:f>
        <x:v>23191.6753152</x:v>
      </x:c>
      <x:c r="D14" s="30" t="n">
        <x:f>D13*'Model Setup'!$C$9*$C$4*(1+$C$7)^MAX(0,D$12-'Model Setup'!$C$11)/1000000</x:f>
        <x:v>0</x:v>
      </x:c>
      <x:c r="E14" s="30" t="n">
        <x:f>E13*'Model Setup'!$C$9*$C$4*(1+$C$7)^MAX(0,E$12-'Model Setup'!$C$11)/1000000</x:f>
        <x:v>0</x:v>
      </x:c>
      <x:c r="F14" s="30" t="n">
        <x:f>F13*'Model Setup'!$C$9*$C$4*(1+$C$7)^MAX(0,F$12-'Model Setup'!$C$11)/1000000</x:f>
        <x:v>0</x:v>
      </x:c>
      <x:c r="G14" s="30" t="n">
        <x:f>G13*'Model Setup'!$C$9*$C$4*(1+$C$7)^MAX(0,G$12-'Model Setup'!$C$11)/1000000</x:f>
        <x:v>0</x:v>
      </x:c>
      <x:c r="H14" s="30" t="n">
        <x:f>H13*'Model Setup'!$C$9*$C$4*(1+$C$7)^MAX(0,H$12-'Model Setup'!$C$11)/1000000</x:f>
        <x:v>0</x:v>
      </x:c>
      <x:c r="I14" s="30" t="n">
        <x:f>I13*'Model Setup'!$C$9*$C$4*(1+$C$7)^MAX(0,I$12-'Model Setup'!$C$11)/1000000</x:f>
        <x:v>0</x:v>
      </x:c>
      <x:c r="J14" s="30" t="n">
        <x:f>J13*'Model Setup'!$C$9*$C$4*(1+$C$7)^MAX(0,J$12-'Model Setup'!$C$11)/1000000</x:f>
        <x:v>0</x:v>
      </x:c>
      <x:c r="K14" s="30" t="n">
        <x:f>K13*'Model Setup'!$C$9*$C$4*(1+$C$7)^MAX(0,K$12-'Model Setup'!$C$11)/1000000</x:f>
        <x:v>0</x:v>
      </x:c>
      <x:c r="L14" s="30" t="n">
        <x:f>L13*'Model Setup'!$C$9*$C$4*(1+$C$7)^MAX(0,L$12-'Model Setup'!$C$11)/1000000</x:f>
        <x:v>0</x:v>
      </x:c>
      <x:c r="M14" s="30" t="n">
        <x:f>M13*'Model Setup'!$C$9*$C$4*(1+$C$7)^MAX(0,M$12-'Model Setup'!$C$11)/1000000</x:f>
        <x:v>0</x:v>
      </x:c>
      <x:c r="N14" s="30" t="n">
        <x:f>N13*'Model Setup'!$C$9*$C$4*(1+$C$7)^MAX(0,N$12-'Model Setup'!$C$11)/1000000</x:f>
        <x:v>0</x:v>
      </x:c>
      <x:c r="O14" s="30" t="n">
        <x:f>O13*'Model Setup'!$C$9*$C$4*(1+$C$7)^MAX(0,O$12-'Model Setup'!$C$11)/1000000</x:f>
        <x:v>0</x:v>
      </x:c>
      <x:c r="P14" s="30" t="n">
        <x:f>P13*'Model Setup'!$C$9*$C$4*(1+$C$7)^MAX(0,P$12-'Model Setup'!$C$11)/1000000</x:f>
        <x:v>0</x:v>
      </x:c>
      <x:c r="Q14" s="30" t="n">
        <x:f>Q13*'Model Setup'!$C$9*$C$4*(1+$C$7)^MAX(0,Q$12-'Model Setup'!$C$11)/1000000</x:f>
        <x:v>0</x:v>
      </x:c>
      <x:c r="R14" s="30" t="n">
        <x:f>R13*'Model Setup'!$C$9*$C$4*(1+$C$7)^MAX(0,R$12-'Model Setup'!$C$11)/1000000</x:f>
        <x:v>0</x:v>
      </x:c>
      <x:c r="S14" s="30" t="n">
        <x:f>S13*'Model Setup'!$C$9*$C$4*(1+$C$7)^MAX(0,S$12-'Model Setup'!$C$11)/1000000</x:f>
        <x:v>0</x:v>
      </x:c>
      <x:c r="T14" s="30" t="n">
        <x:f>T13*'Model Setup'!$C$9*$C$4*(1+$C$7)^MAX(0,T$12-'Model Setup'!$C$11)/1000000</x:f>
        <x:v>0</x:v>
      </x:c>
      <x:c r="U14" s="30" t="n">
        <x:f>U13*'Model Setup'!$C$9*$C$4*(1+$C$7)^MAX(0,U$12-'Model Setup'!$C$11)/1000000</x:f>
        <x:v>0</x:v>
      </x:c>
      <x:c r="V14" s="30" t="n">
        <x:f>V13*'Model Setup'!$C$9*$C$4*(1+$C$7)^MAX(0,V$12-'Model Setup'!$C$11)/1000000</x:f>
        <x:v>0</x:v>
      </x:c>
      <x:c r="W14" s="30" t="n">
        <x:f>W13*'Model Setup'!$C$9*$C$4*(1+$C$7)^MAX(0,W$12-'Model Setup'!$C$11)/1000000</x:f>
        <x:v>0</x:v>
      </x:c>
    </x:row>
    <x:row r="15">
      <x:c r="A15" t="str">
        <x:v>Ancillary revenue</x:v>
      </x:c>
      <x:c r="B15" s="30" t="n">
        <x:f>'Model Setup'!$C$4*$C$5*(1-$C$8)^MAX(0,B$12-'Model Setup'!$C$11)/1000</x:f>
        <x:v>5.52</x:v>
      </x:c>
      <x:c r="C15" s="30" t="n">
        <x:f>'Model Setup'!$C$4*$C$5*(1-$C$8)^MAX(0,C$12-'Model Setup'!$C$11)/1000</x:f>
        <x:v>5.52</x:v>
      </x:c>
      <x:c r="D15" s="30" t="n">
        <x:f>'Model Setup'!$C$4*$C$5*(1-$C$8)^MAX(0,D$12-'Model Setup'!$C$11)/1000</x:f>
        <x:v>5.382</x:v>
      </x:c>
      <x:c r="E15" s="30" t="n">
        <x:f>'Model Setup'!$C$4*$C$5*(1-$C$8)^MAX(0,E$12-'Model Setup'!$C$11)/1000</x:f>
        <x:v>5.24745</x:v>
      </x:c>
      <x:c r="F15" s="30" t="n">
        <x:f>'Model Setup'!$C$4*$C$5*(1-$C$8)^MAX(0,F$12-'Model Setup'!$C$11)/1000</x:f>
        <x:v>5.116263749999999</x:v>
      </x:c>
      <x:c r="G15" s="30" t="n">
        <x:f>'Model Setup'!$C$4*$C$5*(1-$C$8)^MAX(0,G$12-'Model Setup'!$C$11)/1000</x:f>
        <x:v>4.988357156249999</x:v>
      </x:c>
      <x:c r="H15" s="30" t="n">
        <x:f>'Model Setup'!$C$4*$C$5*(1-$C$8)^MAX(0,H$12-'Model Setup'!$C$11)/1000</x:f>
        <x:v>4.86364822734375</x:v>
      </x:c>
      <x:c r="I15" s="30" t="n">
        <x:f>'Model Setup'!$C$4*$C$5*(1-$C$8)^MAX(0,I$12-'Model Setup'!$C$11)/1000</x:f>
        <x:v>4.742057021660155</x:v>
      </x:c>
      <x:c r="J15" s="30" t="n">
        <x:f>'Model Setup'!$C$4*$C$5*(1-$C$8)^MAX(0,J$12-'Model Setup'!$C$11)/1000</x:f>
        <x:v>4.623505596118651</x:v>
      </x:c>
      <x:c r="K15" s="30" t="n">
        <x:f>'Model Setup'!$C$4*$C$5*(1-$C$8)^MAX(0,K$12-'Model Setup'!$C$11)/1000</x:f>
        <x:v>4.507917956215685</x:v>
      </x:c>
      <x:c r="L15" s="30" t="n">
        <x:f>'Model Setup'!$C$4*$C$5*(1-$C$8)^MAX(0,L$12-'Model Setup'!$C$11)/1000</x:f>
        <x:v>4.395220007310293</x:v>
      </x:c>
      <x:c r="M15" s="30" t="n">
        <x:f>'Model Setup'!$C$4*$C$5*(1-$C$8)^MAX(0,M$12-'Model Setup'!$C$11)/1000</x:f>
        <x:v>4.285339507127535</x:v>
      </x:c>
      <x:c r="N15" s="30" t="n">
        <x:f>'Model Setup'!$C$4*$C$5*(1-$C$8)^MAX(0,N$12-'Model Setup'!$C$11)/1000</x:f>
        <x:v>4.178206019449346</x:v>
      </x:c>
      <x:c r="O15" s="30" t="n">
        <x:f>'Model Setup'!$C$4*$C$5*(1-$C$8)^MAX(0,O$12-'Model Setup'!$C$11)/1000</x:f>
        <x:v>4.0737508689631134</x:v>
      </x:c>
      <x:c r="P15" s="30" t="n">
        <x:f>'Model Setup'!$C$4*$C$5*(1-$C$8)^MAX(0,P$12-'Model Setup'!$C$11)/1000</x:f>
        <x:v>3.971907097239035</x:v>
      </x:c>
      <x:c r="Q15" s="30" t="n">
        <x:f>'Model Setup'!$C$4*$C$5*(1-$C$8)^MAX(0,Q$12-'Model Setup'!$C$11)/1000</x:f>
        <x:v>3.872609419808059</x:v>
      </x:c>
      <x:c r="R15" s="30" t="n">
        <x:f>'Model Setup'!$C$4*$C$5*(1-$C$8)^MAX(0,R$12-'Model Setup'!$C$11)/1000</x:f>
        <x:v>3.775794184312857</x:v>
      </x:c>
      <x:c r="S15" s="30" t="n">
        <x:f>'Model Setup'!$C$4*$C$5*(1-$C$8)^MAX(0,S$12-'Model Setup'!$C$11)/1000</x:f>
        <x:v>3.681399329705036</x:v>
      </x:c>
      <x:c r="T15" s="30" t="n">
        <x:f>'Model Setup'!$C$4*$C$5*(1-$C$8)^MAX(0,T$12-'Model Setup'!$C$11)/1000</x:f>
        <x:v>3.58936434646241</x:v>
      </x:c>
      <x:c r="U15" s="30" t="n">
        <x:f>'Model Setup'!$C$4*$C$5*(1-$C$8)^MAX(0,U$12-'Model Setup'!$C$11)/1000</x:f>
        <x:v>3.4996302378008495</x:v>
      </x:c>
      <x:c r="V15" s="30" t="n">
        <x:f>'Model Setup'!$C$4*$C$5*(1-$C$8)^MAX(0,V$12-'Model Setup'!$C$11)/1000</x:f>
        <x:v>3.4121394818558284</x:v>
      </x:c>
      <x:c r="W15" s="30" t="n">
        <x:f>'Model Setup'!$C$4*$C$5*(1-$C$8)^MAX(0,W$12-'Model Setup'!$C$11)/1000</x:f>
        <x:v>3.3268359948094326</x:v>
      </x:c>
    </x:row>
    <x:row r="16">
      <x:c r="A16" t="str">
        <x:v>Capacity revenue</x:v>
      </x:c>
      <x:c r="B16" s="30" t="n">
        <x:f>'Model Setup'!$C$4*$C$6*IF(B$12&lt;'Model Setup'!$C$11+'Model Setup'!$C$10,1,1-$C$9)/1000</x:f>
        <x:v>7.44</x:v>
      </x:c>
      <x:c r="C16" s="30" t="n">
        <x:f>'Model Setup'!$C$4*$C$6*IF(C$12&lt;'Model Setup'!$C$11+'Model Setup'!$C$10,1,1-$C$9)/1000</x:f>
        <x:v>7.44</x:v>
      </x:c>
      <x:c r="D16" s="30" t="n">
        <x:f>'Model Setup'!$C$4*$C$6*IF(D$12&lt;'Model Setup'!$C$11+'Model Setup'!$C$10,1,1-$C$9)/1000</x:f>
        <x:v>7.44</x:v>
      </x:c>
      <x:c r="E16" s="30" t="n">
        <x:f>'Model Setup'!$C$4*$C$6*IF(E$12&lt;'Model Setup'!$C$11+'Model Setup'!$C$10,1,1-$C$9)/1000</x:f>
        <x:v>7.44</x:v>
      </x:c>
      <x:c r="F16" s="30" t="n">
        <x:f>'Model Setup'!$C$4*$C$6*IF(F$12&lt;'Model Setup'!$C$11+'Model Setup'!$C$10,1,1-$C$9)/1000</x:f>
        <x:v>7.44</x:v>
      </x:c>
      <x:c r="G16" s="30" t="n">
        <x:f>'Model Setup'!$C$4*$C$6*IF(G$12&lt;'Model Setup'!$C$11+'Model Setup'!$C$10,1,1-$C$9)/1000</x:f>
        <x:v>7.44</x:v>
      </x:c>
      <x:c r="H16" s="30" t="n">
        <x:f>'Model Setup'!$C$4*$C$6*IF(H$12&lt;'Model Setup'!$C$11+'Model Setup'!$C$10,1,1-$C$9)/1000</x:f>
        <x:v>7.44</x:v>
      </x:c>
      <x:c r="I16" s="30" t="n">
        <x:f>'Model Setup'!$C$4*$C$6*IF(I$12&lt;'Model Setup'!$C$11+'Model Setup'!$C$10,1,1-$C$9)/1000</x:f>
        <x:v>7.44</x:v>
      </x:c>
      <x:c r="J16" s="30" t="n">
        <x:f>'Model Setup'!$C$4*$C$6*IF(J$12&lt;'Model Setup'!$C$11+'Model Setup'!$C$10,1,1-$C$9)/1000</x:f>
        <x:v>7.44</x:v>
      </x:c>
      <x:c r="K16" s="30" t="n">
        <x:f>'Model Setup'!$C$4*$C$6*IF(K$12&lt;'Model Setup'!$C$11+'Model Setup'!$C$10,1,1-$C$9)/1000</x:f>
        <x:v>7.44</x:v>
      </x:c>
      <x:c r="L16" s="30" t="n">
        <x:f>'Model Setup'!$C$4*$C$6*IF(L$12&lt;'Model Setup'!$C$11+'Model Setup'!$C$10,1,1-$C$9)/1000</x:f>
        <x:v>7.44</x:v>
      </x:c>
      <x:c r="M16" s="30" t="n">
        <x:f>'Model Setup'!$C$4*$C$6*IF(M$12&lt;'Model Setup'!$C$11+'Model Setup'!$C$10,1,1-$C$9)/1000</x:f>
        <x:v>4.836</x:v>
      </x:c>
      <x:c r="N16" s="30" t="n">
        <x:f>'Model Setup'!$C$4*$C$6*IF(N$12&lt;'Model Setup'!$C$11+'Model Setup'!$C$10,1,1-$C$9)/1000</x:f>
        <x:v>4.836</x:v>
      </x:c>
      <x:c r="O16" s="30" t="n">
        <x:f>'Model Setup'!$C$4*$C$6*IF(O$12&lt;'Model Setup'!$C$11+'Model Setup'!$C$10,1,1-$C$9)/1000</x:f>
        <x:v>4.836</x:v>
      </x:c>
      <x:c r="P16" s="30" t="n">
        <x:f>'Model Setup'!$C$4*$C$6*IF(P$12&lt;'Model Setup'!$C$11+'Model Setup'!$C$10,1,1-$C$9)/1000</x:f>
        <x:v>4.836</x:v>
      </x:c>
      <x:c r="Q16" s="30" t="n">
        <x:f>'Model Setup'!$C$4*$C$6*IF(Q$12&lt;'Model Setup'!$C$11+'Model Setup'!$C$10,1,1-$C$9)/1000</x:f>
        <x:v>4.836</x:v>
      </x:c>
      <x:c r="R16" s="30" t="n">
        <x:f>'Model Setup'!$C$4*$C$6*IF(R$12&lt;'Model Setup'!$C$11+'Model Setup'!$C$10,1,1-$C$9)/1000</x:f>
        <x:v>4.836</x:v>
      </x:c>
      <x:c r="S16" s="30" t="n">
        <x:f>'Model Setup'!$C$4*$C$6*IF(S$12&lt;'Model Setup'!$C$11+'Model Setup'!$C$10,1,1-$C$9)/1000</x:f>
        <x:v>4.836</x:v>
      </x:c>
      <x:c r="T16" s="30" t="n">
        <x:f>'Model Setup'!$C$4*$C$6*IF(T$12&lt;'Model Setup'!$C$11+'Model Setup'!$C$10,1,1-$C$9)/1000</x:f>
        <x:v>4.836</x:v>
      </x:c>
      <x:c r="U16" s="30" t="n">
        <x:f>'Model Setup'!$C$4*$C$6*IF(U$12&lt;'Model Setup'!$C$11+'Model Setup'!$C$10,1,1-$C$9)/1000</x:f>
        <x:v>4.836</x:v>
      </x:c>
      <x:c r="V16" s="30" t="n">
        <x:f>'Model Setup'!$C$4*$C$6*IF(V$12&lt;'Model Setup'!$C$11+'Model Setup'!$C$10,1,1-$C$9)/1000</x:f>
        <x:v>4.836</x:v>
      </x:c>
      <x:c r="W16" s="30" t="n">
        <x:f>'Model Setup'!$C$4*$C$6*IF(W$12&lt;'Model Setup'!$C$11+'Model Setup'!$C$10,1,1-$C$9)/1000</x:f>
        <x:v>4.836</x:v>
      </x:c>
    </x:row>
    <x:row r="17">
      <x:c r="A17" t="str">
        <x:v>Congestion uplift</x:v>
      </x:c>
      <x:c r="B17" s="30" t="e">
        <x:f>(B14+B15)*$C$10</x:f>
      </x:c>
      <x:c r="C17" s="30" t="n">
        <x:f>(C14+C15)*$C$10</x:f>
        <x:v>1855.775625216</x:v>
      </x:c>
      <x:c r="D17" s="30" t="n">
        <x:f>(D14+D15)*$C$10</x:f>
        <x:v>0.43056</x:v>
      </x:c>
      <x:c r="E17" s="30" t="n">
        <x:f>(E14+E15)*$C$10</x:f>
        <x:v>0.419796</x:v>
      </x:c>
      <x:c r="F17" s="30" t="n">
        <x:f>(F14+F15)*$C$10</x:f>
        <x:v>0.4093010999999999</x:v>
      </x:c>
      <x:c r="G17" s="30" t="n">
        <x:f>(G14+G15)*$C$10</x:f>
        <x:v>0.39906857249999994</x:v>
      </x:c>
      <x:c r="H17" s="30" t="n">
        <x:f>(H14+H15)*$C$10</x:f>
        <x:v>0.3890918581875</x:v>
      </x:c>
      <x:c r="I17" s="30" t="n">
        <x:f>(I14+I15)*$C$10</x:f>
        <x:v>0.37936456173281247</x:v>
      </x:c>
      <x:c r="J17" s="30" t="n">
        <x:f>(J14+J15)*$C$10</x:f>
        <x:v>0.3698804476894921</x:v>
      </x:c>
      <x:c r="K17" s="30" t="n">
        <x:f>(K14+K15)*$C$10</x:f>
        <x:v>0.3606334364972548</x:v>
      </x:c>
      <x:c r="L17" s="30" t="n">
        <x:f>(L14+L15)*$C$10</x:f>
        <x:v>0.35161760058482344</x:v>
      </x:c>
      <x:c r="M17" s="30" t="n">
        <x:f>(M14+M15)*$C$10</x:f>
        <x:v>0.3428271605702028</x:v>
      </x:c>
      <x:c r="N17" s="30" t="n">
        <x:f>(N14+N15)*$C$10</x:f>
        <x:v>0.3342564815559477</x:v>
      </x:c>
      <x:c r="O17" s="30" t="n">
        <x:f>(O14+O15)*$C$10</x:f>
        <x:v>0.3259000695170491</x:v>
      </x:c>
      <x:c r="P17" s="30" t="n">
        <x:f>(P14+P15)*$C$10</x:f>
        <x:v>0.3177525677791228</x:v>
      </x:c>
      <x:c r="Q17" s="30" t="n">
        <x:f>(Q14+Q15)*$C$10</x:f>
        <x:v>0.3098087535846447</x:v>
      </x:c>
      <x:c r="R17" s="30" t="n">
        <x:f>(R14+R15)*$C$10</x:f>
        <x:v>0.30206353474502856</x:v>
      </x:c>
      <x:c r="S17" s="30" t="n">
        <x:f>(S14+S15)*$C$10</x:f>
        <x:v>0.2945119463764029</x:v>
      </x:c>
      <x:c r="T17" s="30" t="n">
        <x:f>(T14+T15)*$C$10</x:f>
        <x:v>0.2871491477169928</x:v>
      </x:c>
      <x:c r="U17" s="30" t="n">
        <x:f>(U14+U15)*$C$10</x:f>
        <x:v>0.27997041902406794</x:v>
      </x:c>
      <x:c r="V17" s="30" t="n">
        <x:f>(V14+V15)*$C$10</x:f>
        <x:v>0.27297115854846626</x:v>
      </x:c>
      <x:c r="W17" s="30" t="n">
        <x:f>(W14+W15)*$C$10</x:f>
        <x:v>0.26614687958475464</x:v>
      </x:c>
    </x:row>
    <x:row r="18">
      <x:c r="A18" t="str">
        <x:v>Total revenue</x:v>
      </x:c>
      <x:c r="B18" s="30" t="e">
        <x:f>SUM(B14:B17)</x:f>
      </x:c>
      <x:c r="C18" s="30" t="n">
        <x:f>SUM(C14:C17)</x:f>
        <x:v>25060.410940415997</x:v>
      </x:c>
      <x:c r="D18" s="30" t="n">
        <x:f>SUM(D14:D17)</x:f>
        <x:v>13.252559999999999</x:v>
      </x:c>
      <x:c r="E18" s="30" t="n">
        <x:f>SUM(E14:E17)</x:f>
        <x:v>13.107246</x:v>
      </x:c>
      <x:c r="F18" s="30" t="n">
        <x:f>SUM(F14:F17)</x:f>
        <x:v>12.96556485</x:v>
      </x:c>
      <x:c r="G18" s="30" t="n">
        <x:f>SUM(G14:G17)</x:f>
        <x:v>12.827425728749999</x:v>
      </x:c>
      <x:c r="H18" s="30" t="n">
        <x:f>SUM(H14:H17)</x:f>
        <x:v>12.69274008553125</x:v>
      </x:c>
      <x:c r="I18" s="30" t="n">
        <x:f>SUM(I14:I17)</x:f>
        <x:v>12.561421583392969</x:v>
      </x:c>
      <x:c r="J18" s="30" t="n">
        <x:f>SUM(J14:J17)</x:f>
        <x:v>12.433386043808145</x:v>
      </x:c>
      <x:c r="K18" s="30" t="n">
        <x:f>SUM(K14:K17)</x:f>
        <x:v>12.30855139271294</x:v>
      </x:c>
      <x:c r="L18" s="30" t="n">
        <x:f>SUM(L14:L17)</x:f>
        <x:v>12.186837607895118</x:v>
      </x:c>
      <x:c r="M18" s="30" t="n">
        <x:f>SUM(M14:M17)</x:f>
        <x:v>9.464166667697738</x:v>
      </x:c>
      <x:c r="N18" s="30" t="n">
        <x:f>SUM(N14:N17)</x:f>
        <x:v>9.348462501005294</x:v>
      </x:c>
      <x:c r="O18" s="30" t="n">
        <x:f>SUM(O14:O17)</x:f>
        <x:v>9.235650938480163</x:v>
      </x:c>
      <x:c r="P18" s="30" t="n">
        <x:f>SUM(P14:P17)</x:f>
        <x:v>9.125659665018157</x:v>
      </x:c>
      <x:c r="Q18" s="30" t="n">
        <x:f>SUM(Q14:Q17)</x:f>
        <x:v>9.018418173392703</x:v>
      </x:c>
      <x:c r="R18" s="30" t="n">
        <x:f>SUM(R14:R17)</x:f>
        <x:v>8.913857719057885</x:v>
      </x:c>
      <x:c r="S18" s="30" t="n">
        <x:f>SUM(S14:S17)</x:f>
        <x:v>8.811911276081439</x:v>
      </x:c>
      <x:c r="T18" s="30" t="n">
        <x:f>SUM(T14:T17)</x:f>
        <x:v>8.712513494179404</x:v>
      </x:c>
      <x:c r="U18" s="30" t="n">
        <x:f>SUM(U14:U17)</x:f>
        <x:v>8.615600656824917</x:v>
      </x:c>
      <x:c r="V18" s="30" t="n">
        <x:f>SUM(V14:V17)</x:f>
        <x:v>8.521110640404295</x:v>
      </x:c>
      <x:c r="W18" s="30" t="n">
        <x:f>SUM(W14:W17)</x:f>
        <x:v>8.428982874394187</x:v>
      </x:c>
    </x:row>
  </x:sheetData>
  <x:mergeCells>
    <x:mergeCell ref="A1:W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6" hidden="0" customWidth="1"/>
  </x:cols>
  <x:sheetData>
    <x:row r="1" ht="26" customHeight="1">
      <x:c r="A1" s="5" t="str">
        <x:v>Cell Degradation and Augmentation</x:v>
      </x:c>
    </x:row>
    <x:row r="3">
      <x:c r="A3" s="14" t="str">
        <x:v>Technical input</x:v>
      </x:c>
      <x:c r="B3" s="14" t="str">
        <x:v>Unit</x:v>
      </x:c>
      <x:c r="C3" s="14" t="str">
        <x:v>Value</x:v>
      </x:c>
    </x:row>
    <x:row r="4">
      <x:c r="A4" t="str">
        <x:v>Annual degradation</x:v>
      </x:c>
      <x:c r="B4" t="str">
        <x:v>%</x:v>
      </x:c>
      <x:c r="C4" s="24" t="n">
        <x:v>0.022</x:v>
      </x:c>
    </x:row>
    <x:row r="5">
      <x:c r="A5" t="str">
        <x:v>Augmentation year</x:v>
      </x:c>
      <x:c r="B5" t="str">
        <x:v>Year</x:v>
      </x:c>
      <x:c r="C5" s="24" t="n">
        <x:v>2036</x:v>
      </x:c>
    </x:row>
    <x:row r="6">
      <x:c r="A6" t="str">
        <x:v>Augmentation capacity</x:v>
      </x:c>
      <x:c r="B6" t="str">
        <x:v>%</x:v>
      </x:c>
      <x:c r="C6" s="24" t="n">
        <x:v>0.18</x:v>
      </x:c>
    </x:row>
    <x:row r="7">
      <x:c r="A7" t="str">
        <x:v>Augmentation cost</x:v>
      </x:c>
      <x:c r="B7" t="str">
        <x:v>$mm</x:v>
      </x:c>
      <x:c r="C7" s="22" t="n">
        <x:v>21</x:v>
      </x:c>
    </x:row>
    <x:row r="8">
      <x:c r="A8" t="str">
        <x:v>Salvage value</x:v>
      </x:c>
      <x:c r="B8" t="str">
        <x:v>$mm</x:v>
      </x:c>
      <x:c r="C8" s="22" t="n">
        <x:v>8</x:v>
      </x:c>
    </x:row>
    <x:row r="10">
      <x:c r="A10" s="14" t="str">
        <x:v>Metric</x:v>
      </x:c>
      <x:c r="B10" s="14" t="n">
        <x:v>2027</x:v>
      </x:c>
      <x:c r="C10" s="14" t="n">
        <x:v>2028</x:v>
      </x:c>
      <x:c r="D10" s="14" t="n">
        <x:v>2029</x:v>
      </x:c>
      <x:c r="E10" s="14" t="n">
        <x:v>2030</x:v>
      </x:c>
      <x:c r="F10" s="14" t="n">
        <x:v>2031</x:v>
      </x:c>
      <x:c r="G10" s="14" t="n">
        <x:v>2032</x:v>
      </x:c>
      <x:c r="H10" s="14" t="n">
        <x:v>2033</x:v>
      </x:c>
      <x:c r="I10" s="14" t="n">
        <x:v>2034</x:v>
      </x:c>
      <x:c r="J10" s="14" t="n">
        <x:v>2035</x:v>
      </x:c>
      <x:c r="K10" s="14" t="n">
        <x:v>2036</x:v>
      </x:c>
      <x:c r="L10" s="14" t="n">
        <x:v>2037</x:v>
      </x:c>
      <x:c r="M10" s="14" t="n">
        <x:v>2038</x:v>
      </x:c>
      <x:c r="N10" s="14" t="n">
        <x:v>2039</x:v>
      </x:c>
      <x:c r="O10" s="14" t="n">
        <x:v>2040</x:v>
      </x:c>
      <x:c r="P10" s="14" t="n">
        <x:v>2041</x:v>
      </x:c>
      <x:c r="Q10" s="14" t="n">
        <x:v>2042</x:v>
      </x:c>
      <x:c r="R10" s="14" t="n">
        <x:v>2043</x:v>
      </x:c>
      <x:c r="S10" s="14" t="n">
        <x:v>2044</x:v>
      </x:c>
      <x:c r="T10" s="14" t="n">
        <x:v>2045</x:v>
      </x:c>
      <x:c r="U10" s="14" t="n">
        <x:v>2046</x:v>
      </x:c>
      <x:c r="V10" s="14" t="n">
        <x:v>2047</x:v>
      </x:c>
      <x:c r="W10" s="14" t="n">
        <x:v>2048</x:v>
      </x:c>
    </x:row>
    <x:row r="11">
      <x:c r="A11" t="str">
        <x:v>Capacity retention</x:v>
      </x:c>
      <x:c r="B11" s="34" t="n">
        <x:f>(1-$C$4)^MAX(0,B$10-'Model Setup'!$C$11)</x:f>
        <x:v>1</x:v>
      </x:c>
      <x:c r="C11" s="34" t="n">
        <x:f>(1-$C$4)^MAX(0,C$10-'Model Setup'!$C$11)</x:f>
        <x:v>1</x:v>
      </x:c>
      <x:c r="D11" s="34" t="n">
        <x:f>(1-$C$4)^MAX(0,D$10-'Model Setup'!$C$11)</x:f>
        <x:v>0.978</x:v>
      </x:c>
      <x:c r="E11" s="34" t="n">
        <x:f>(1-$C$4)^MAX(0,E$10-'Model Setup'!$C$11)</x:f>
        <x:v>0.956484</x:v>
      </x:c>
      <x:c r="F11" s="34" t="n">
        <x:f>(1-$C$4)^MAX(0,F$10-'Model Setup'!$C$11)</x:f>
        <x:v>0.935441352</x:v>
      </x:c>
      <x:c r="G11" s="34" t="n">
        <x:f>(1-$C$4)^MAX(0,G$10-'Model Setup'!$C$11)</x:f>
        <x:v>0.914861642256</x:v>
      </x:c>
      <x:c r="H11" s="34" t="n">
        <x:f>(1-$C$4)^MAX(0,H$10-'Model Setup'!$C$11)</x:f>
        <x:v>0.894734686126368</x:v>
      </x:c>
      <x:c r="I11" s="34" t="n">
        <x:f>(1-$C$4)^MAX(0,I$10-'Model Setup'!$C$11)</x:f>
        <x:v>0.8750505230315879</x:v>
      </x:c>
      <x:c r="J11" s="34" t="n">
        <x:f>(1-$C$4)^MAX(0,J$10-'Model Setup'!$C$11)</x:f>
        <x:v>0.8557994115248929</x:v>
      </x:c>
      <x:c r="K11" s="34" t="n">
        <x:f>(1-$C$4)^MAX(0,K$10-'Model Setup'!$C$11)</x:f>
        <x:v>0.8369718244713453</x:v>
      </x:c>
      <x:c r="L11" s="34" t="n">
        <x:f>(1-$C$4)^MAX(0,L$10-'Model Setup'!$C$11)</x:f>
        <x:v>0.8185584443329758</x:v>
      </x:c>
      <x:c r="M11" s="34" t="n">
        <x:f>(1-$C$4)^MAX(0,M$10-'Model Setup'!$C$11)</x:f>
        <x:v>0.8005501585576502</x:v>
      </x:c>
      <x:c r="N11" s="34" t="n">
        <x:f>(1-$C$4)^MAX(0,N$10-'Model Setup'!$C$11)</x:f>
        <x:v>0.782938055069382</x:v>
      </x:c>
      <x:c r="O11" s="34" t="n">
        <x:f>(1-$C$4)^MAX(0,O$10-'Model Setup'!$C$11)</x:f>
        <x:v>0.7657134178578555</x:v>
      </x:c>
      <x:c r="P11" s="34" t="n">
        <x:f>(1-$C$4)^MAX(0,P$10-'Model Setup'!$C$11)</x:f>
        <x:v>0.7488677226649827</x:v>
      </x:c>
      <x:c r="Q11" s="34" t="n">
        <x:f>(1-$C$4)^MAX(0,Q$10-'Model Setup'!$C$11)</x:f>
        <x:v>0.7323926327663531</x:v>
      </x:c>
      <x:c r="R11" s="34" t="n">
        <x:f>(1-$C$4)^MAX(0,R$10-'Model Setup'!$C$11)</x:f>
        <x:v>0.7162799948454933</x:v>
      </x:c>
      <x:c r="S11" s="34" t="n">
        <x:f>(1-$C$4)^MAX(0,S$10-'Model Setup'!$C$11)</x:f>
        <x:v>0.7005218349588925</x:v>
      </x:c>
      <x:c r="T11" s="34" t="n">
        <x:f>(1-$C$4)^MAX(0,T$10-'Model Setup'!$C$11)</x:f>
        <x:v>0.6851103545897969</x:v>
      </x:c>
      <x:c r="U11" s="34" t="n">
        <x:f>(1-$C$4)^MAX(0,U$10-'Model Setup'!$C$11)</x:f>
        <x:v>0.6700379267888213</x:v>
      </x:c>
      <x:c r="V11" s="34" t="n">
        <x:f>(1-$C$4)^MAX(0,V$10-'Model Setup'!$C$11)</x:f>
        <x:v>0.6552970923994673</x:v>
      </x:c>
      <x:c r="W11" s="34" t="n">
        <x:f>(1-$C$4)^MAX(0,W$10-'Model Setup'!$C$11)</x:f>
        <x:v>0.640880556366679</x:v>
      </x:c>
    </x:row>
    <x:row r="12">
      <x:c r="A12" t="str">
        <x:v>Augmentation factor</x:v>
      </x:c>
      <x:c r="B12" s="34" t="n">
        <x:f>IF(B$10&gt;=$C$5,1+$C$6,1)</x:f>
        <x:v>1</x:v>
      </x:c>
      <x:c r="C12" s="34" t="n">
        <x:f>IF(C$10&gt;=$C$5,1+$C$6,1)</x:f>
        <x:v>1</x:v>
      </x:c>
      <x:c r="D12" s="34" t="n">
        <x:f>IF(D$10&gt;=$C$5,1+$C$6,1)</x:f>
        <x:v>1</x:v>
      </x:c>
      <x:c r="E12" s="34" t="n">
        <x:f>IF(E$10&gt;=$C$5,1+$C$6,1)</x:f>
        <x:v>1</x:v>
      </x:c>
      <x:c r="F12" s="34" t="n">
        <x:f>IF(F$10&gt;=$C$5,1+$C$6,1)</x:f>
        <x:v>1</x:v>
      </x:c>
      <x:c r="G12" s="34" t="n">
        <x:f>IF(G$10&gt;=$C$5,1+$C$6,1)</x:f>
        <x:v>1</x:v>
      </x:c>
      <x:c r="H12" s="34" t="n">
        <x:f>IF(H$10&gt;=$C$5,1+$C$6,1)</x:f>
        <x:v>1</x:v>
      </x:c>
      <x:c r="I12" s="34" t="n">
        <x:f>IF(I$10&gt;=$C$5,1+$C$6,1)</x:f>
        <x:v>1</x:v>
      </x:c>
      <x:c r="J12" s="34" t="n">
        <x:f>IF(J$10&gt;=$C$5,1+$C$6,1)</x:f>
        <x:v>1</x:v>
      </x:c>
      <x:c r="K12" s="34" t="n">
        <x:f>IF(K$10&gt;=$C$5,1+$C$6,1)</x:f>
        <x:v>1.18</x:v>
      </x:c>
      <x:c r="L12" s="34" t="n">
        <x:f>IF(L$10&gt;=$C$5,1+$C$6,1)</x:f>
        <x:v>1.18</x:v>
      </x:c>
      <x:c r="M12" s="34" t="n">
        <x:f>IF(M$10&gt;=$C$5,1+$C$6,1)</x:f>
        <x:v>1.18</x:v>
      </x:c>
      <x:c r="N12" s="34" t="n">
        <x:f>IF(N$10&gt;=$C$5,1+$C$6,1)</x:f>
        <x:v>1.18</x:v>
      </x:c>
      <x:c r="O12" s="34" t="n">
        <x:f>IF(O$10&gt;=$C$5,1+$C$6,1)</x:f>
        <x:v>1.18</x:v>
      </x:c>
      <x:c r="P12" s="34" t="n">
        <x:f>IF(P$10&gt;=$C$5,1+$C$6,1)</x:f>
        <x:v>1.18</x:v>
      </x:c>
      <x:c r="Q12" s="34" t="n">
        <x:f>IF(Q$10&gt;=$C$5,1+$C$6,1)</x:f>
        <x:v>1.18</x:v>
      </x:c>
      <x:c r="R12" s="34" t="n">
        <x:f>IF(R$10&gt;=$C$5,1+$C$6,1)</x:f>
        <x:v>1.18</x:v>
      </x:c>
      <x:c r="S12" s="34" t="n">
        <x:f>IF(S$10&gt;=$C$5,1+$C$6,1)</x:f>
        <x:v>1.18</x:v>
      </x:c>
      <x:c r="T12" s="34" t="n">
        <x:f>IF(T$10&gt;=$C$5,1+$C$6,1)</x:f>
        <x:v>1.18</x:v>
      </x:c>
      <x:c r="U12" s="34" t="n">
        <x:f>IF(U$10&gt;=$C$5,1+$C$6,1)</x:f>
        <x:v>1.18</x:v>
      </x:c>
      <x:c r="V12" s="34" t="n">
        <x:f>IF(V$10&gt;=$C$5,1+$C$6,1)</x:f>
        <x:v>1.18</x:v>
      </x:c>
      <x:c r="W12" s="34" t="n">
        <x:f>IF(W$10&gt;=$C$5,1+$C$6,1)</x:f>
        <x:v>1.18</x:v>
      </x:c>
    </x:row>
    <x:row r="13">
      <x:c r="A13" t="str">
        <x:v>Net available capacity</x:v>
      </x:c>
      <x:c r="B13" s="34" t="n">
        <x:f>B11*B12</x:f>
        <x:v>1</x:v>
      </x:c>
      <x:c r="C13" s="34" t="n">
        <x:f>C11*C12</x:f>
        <x:v>1</x:v>
      </x:c>
      <x:c r="D13" s="34" t="n">
        <x:f>D11*D12</x:f>
        <x:v>0.978</x:v>
      </x:c>
      <x:c r="E13" s="34" t="n">
        <x:f>E11*E12</x:f>
        <x:v>0.956484</x:v>
      </x:c>
      <x:c r="F13" s="34" t="n">
        <x:f>F11*F12</x:f>
        <x:v>0.935441352</x:v>
      </x:c>
      <x:c r="G13" s="34" t="n">
        <x:f>G11*G12</x:f>
        <x:v>0.914861642256</x:v>
      </x:c>
      <x:c r="H13" s="34" t="n">
        <x:f>H11*H12</x:f>
        <x:v>0.894734686126368</x:v>
      </x:c>
      <x:c r="I13" s="34" t="n">
        <x:f>I11*I12</x:f>
        <x:v>0.8750505230315879</x:v>
      </x:c>
      <x:c r="J13" s="34" t="n">
        <x:f>J11*J12</x:f>
        <x:v>0.8557994115248929</x:v>
      </x:c>
      <x:c r="K13" s="34" t="n">
        <x:f>K11*K12</x:f>
        <x:v>0.9876267528761874</x:v>
      </x:c>
      <x:c r="L13" s="34" t="n">
        <x:f>L11*L12</x:f>
        <x:v>0.9658989643129113</x:v>
      </x:c>
      <x:c r="M13" s="34" t="n">
        <x:f>M11*M12</x:f>
        <x:v>0.9446491870980273</x:v>
      </x:c>
      <x:c r="N13" s="34" t="n">
        <x:f>N11*N12</x:f>
        <x:v>0.9238669049818706</x:v>
      </x:c>
      <x:c r="O13" s="34" t="n">
        <x:f>O11*O12</x:f>
        <x:v>0.9035418330722694</x:v>
      </x:c>
      <x:c r="P13" s="34" t="n">
        <x:f>P11*P12</x:f>
        <x:v>0.8836639127446795</x:v>
      </x:c>
      <x:c r="Q13" s="34" t="n">
        <x:f>Q11*Q12</x:f>
        <x:v>0.8642233066642967</x:v>
      </x:c>
      <x:c r="R13" s="34" t="n">
        <x:f>R11*R12</x:f>
        <x:v>0.845210393917682</x:v>
      </x:c>
      <x:c r="S13" s="34" t="n">
        <x:f>S11*S12</x:f>
        <x:v>0.8266157652514932</x:v>
      </x:c>
      <x:c r="T13" s="34" t="n">
        <x:f>T11*T12</x:f>
        <x:v>0.8084302184159603</x:v>
      </x:c>
      <x:c r="U13" s="34" t="n">
        <x:f>U11*U12</x:f>
        <x:v>0.7906447536108091</x:v>
      </x:c>
      <x:c r="V13" s="34" t="n">
        <x:f>V11*V12</x:f>
        <x:v>0.7732505690313713</x:v>
      </x:c>
      <x:c r="W13" s="34" t="n">
        <x:f>W11*W12</x:f>
        <x:v>0.7562390565126811</x:v>
      </x:c>
    </x:row>
  </x:sheetData>
  <x:mergeCells>
    <x:mergeCell ref="A1:W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</x:cols>
  <x:sheetData>
    <x:row r="1" ht="26" customHeight="1">
      <x:c r="A1" s="5" t="str">
        <x:v>Capex and Opex</x:v>
      </x:c>
    </x:row>
    <x:row r="3">
      <x:c r="A3" s="14" t="str">
        <x:v>Cost input</x:v>
      </x:c>
      <x:c r="B3" s="14" t="str">
        <x:v>Unit</x:v>
      </x:c>
      <x:c r="C3" s="14" t="str">
        <x:v>Value</x:v>
      </x:c>
    </x:row>
    <x:row r="4">
      <x:c r="A4" t="str">
        <x:v>Base capex</x:v>
      </x:c>
      <x:c r="B4" t="str">
        <x:v>$mm</x:v>
      </x:c>
      <x:c r="C4" s="22" t="n">
        <x:v>152</x:v>
      </x:c>
    </x:row>
    <x:row r="5">
      <x:c r="A5" t="str">
        <x:v>Contingency</x:v>
      </x:c>
      <x:c r="B5" t="str">
        <x:v>%</x:v>
      </x:c>
      <x:c r="C5" s="24" t="n">
        <x:v>0.08</x:v>
      </x:c>
    </x:row>
    <x:row r="6">
      <x:c r="A6" t="str">
        <x:v>Fixed opex</x:v>
      </x:c>
      <x:c r="B6" t="str">
        <x:v>$mm/year</x:v>
      </x:c>
      <x:c r="C6" s="22" t="n">
        <x:v>4.8</x:v>
      </x:c>
    </x:row>
    <x:row r="7">
      <x:c r="A7" t="str">
        <x:v>Variable opex</x:v>
      </x:c>
      <x:c r="B7" t="str">
        <x:v>$/MWh</x:v>
      </x:c>
      <x:c r="C7" s="22" t="n">
        <x:v>1.9</x:v>
      </x:c>
    </x:row>
    <x:row r="8">
      <x:c r="A8" t="str">
        <x:v>Insurance</x:v>
      </x:c>
      <x:c r="B8" t="str">
        <x:v>% capex</x:v>
      </x:c>
      <x:c r="C8" s="24" t="n">
        <x:v>0.006</x:v>
      </x:c>
    </x:row>
    <x:row r="9">
      <x:c r="A9" t="str">
        <x:v>Land lease</x:v>
      </x:c>
      <x:c r="B9" t="str">
        <x:v>$mm/year</x:v>
      </x:c>
      <x:c r="C9" s="22" t="n">
        <x:v>0.9</x:v>
      </x:c>
    </x:row>
    <x:row r="10">
      <x:c r="A10" t="str">
        <x:v>Decommissioning reserve</x:v>
      </x:c>
      <x:c r="B10" t="str">
        <x:v>$mm</x:v>
      </x:c>
      <x:c r="C10" s="22" t="n">
        <x:v>7</x:v>
      </x:c>
    </x:row>
    <x:row r="12">
      <x:c r="A12" s="14" t="str">
        <x:v>Metric</x:v>
      </x:c>
      <x:c r="B12" s="14" t="n">
        <x:v>2027</x:v>
      </x:c>
      <x:c r="C12" s="14" t="n">
        <x:v>2028</x:v>
      </x:c>
      <x:c r="D12" s="14" t="n">
        <x:v>2029</x:v>
      </x:c>
      <x:c r="E12" s="14" t="n">
        <x:v>2030</x:v>
      </x:c>
      <x:c r="F12" s="14" t="n">
        <x:v>2031</x:v>
      </x:c>
      <x:c r="G12" s="14" t="n">
        <x:v>2032</x:v>
      </x:c>
      <x:c r="H12" s="14" t="n">
        <x:v>2033</x:v>
      </x:c>
      <x:c r="I12" s="14" t="n">
        <x:v>2034</x:v>
      </x:c>
      <x:c r="J12" s="14" t="n">
        <x:v>2035</x:v>
      </x:c>
      <x:c r="K12" s="14" t="n">
        <x:v>2036</x:v>
      </x:c>
      <x:c r="L12" s="14" t="n">
        <x:v>2037</x:v>
      </x:c>
      <x:c r="M12" s="14" t="n">
        <x:v>2038</x:v>
      </x:c>
      <x:c r="N12" s="14" t="n">
        <x:v>2039</x:v>
      </x:c>
      <x:c r="O12" s="14" t="n">
        <x:v>2040</x:v>
      </x:c>
      <x:c r="P12" s="14" t="n">
        <x:v>2041</x:v>
      </x:c>
      <x:c r="Q12" s="14" t="n">
        <x:v>2042</x:v>
      </x:c>
      <x:c r="R12" s="14" t="n">
        <x:v>2043</x:v>
      </x:c>
      <x:c r="S12" s="14" t="n">
        <x:v>2044</x:v>
      </x:c>
      <x:c r="T12" s="14" t="n">
        <x:v>2045</x:v>
      </x:c>
      <x:c r="U12" s="14" t="n">
        <x:v>2046</x:v>
      </x:c>
      <x:c r="V12" s="14" t="n">
        <x:v>2047</x:v>
      </x:c>
      <x:c r="W12" s="14" t="n">
        <x:v>2048</x:v>
      </x:c>
    </x:row>
    <x:row r="13">
      <x:c r="A13" t="str">
        <x:v>Initial capex</x:v>
      </x:c>
      <x:c r="B13" s="30" t="n">
        <x:f>IF(B$12='Model Setup'!$C$11-1,$C$4*(1+$C$5),0)</x:f>
        <x:v>164.16000000000003</x:v>
      </x:c>
      <x:c r="C13" s="30" t="n">
        <x:f>IF(C$12='Model Setup'!$C$11-1,$C$4*(1+$C$5),0)</x:f>
        <x:v>0</x:v>
      </x:c>
      <x:c r="D13" s="30" t="n">
        <x:f>IF(D$12='Model Setup'!$C$11-1,$C$4*(1+$C$5),0)</x:f>
        <x:v>0</x:v>
      </x:c>
      <x:c r="E13" s="30" t="n">
        <x:f>IF(E$12='Model Setup'!$C$11-1,$C$4*(1+$C$5),0)</x:f>
        <x:v>0</x:v>
      </x:c>
      <x:c r="F13" s="30" t="n">
        <x:f>IF(F$12='Model Setup'!$C$11-1,$C$4*(1+$C$5),0)</x:f>
        <x:v>0</x:v>
      </x:c>
      <x:c r="G13" s="30" t="n">
        <x:f>IF(G$12='Model Setup'!$C$11-1,$C$4*(1+$C$5),0)</x:f>
        <x:v>0</x:v>
      </x:c>
      <x:c r="H13" s="30" t="n">
        <x:f>IF(H$12='Model Setup'!$C$11-1,$C$4*(1+$C$5),0)</x:f>
        <x:v>0</x:v>
      </x:c>
      <x:c r="I13" s="30" t="n">
        <x:f>IF(I$12='Model Setup'!$C$11-1,$C$4*(1+$C$5),0)</x:f>
        <x:v>0</x:v>
      </x:c>
      <x:c r="J13" s="30" t="n">
        <x:f>IF(J$12='Model Setup'!$C$11-1,$C$4*(1+$C$5),0)</x:f>
        <x:v>0</x:v>
      </x:c>
      <x:c r="K13" s="30" t="n">
        <x:f>IF(K$12='Model Setup'!$C$11-1,$C$4*(1+$C$5),0)</x:f>
        <x:v>0</x:v>
      </x:c>
      <x:c r="L13" s="30" t="n">
        <x:f>IF(L$12='Model Setup'!$C$11-1,$C$4*(1+$C$5),0)</x:f>
        <x:v>0</x:v>
      </x:c>
      <x:c r="M13" s="30" t="n">
        <x:f>IF(M$12='Model Setup'!$C$11-1,$C$4*(1+$C$5),0)</x:f>
        <x:v>0</x:v>
      </x:c>
      <x:c r="N13" s="30" t="n">
        <x:f>IF(N$12='Model Setup'!$C$11-1,$C$4*(1+$C$5),0)</x:f>
        <x:v>0</x:v>
      </x:c>
      <x:c r="O13" s="30" t="n">
        <x:f>IF(O$12='Model Setup'!$C$11-1,$C$4*(1+$C$5),0)</x:f>
        <x:v>0</x:v>
      </x:c>
      <x:c r="P13" s="30" t="n">
        <x:f>IF(P$12='Model Setup'!$C$11-1,$C$4*(1+$C$5),0)</x:f>
        <x:v>0</x:v>
      </x:c>
      <x:c r="Q13" s="30" t="n">
        <x:f>IF(Q$12='Model Setup'!$C$11-1,$C$4*(1+$C$5),0)</x:f>
        <x:v>0</x:v>
      </x:c>
      <x:c r="R13" s="30" t="n">
        <x:f>IF(R$12='Model Setup'!$C$11-1,$C$4*(1+$C$5),0)</x:f>
        <x:v>0</x:v>
      </x:c>
      <x:c r="S13" s="30" t="n">
        <x:f>IF(S$12='Model Setup'!$C$11-1,$C$4*(1+$C$5),0)</x:f>
        <x:v>0</x:v>
      </x:c>
      <x:c r="T13" s="30" t="n">
        <x:f>IF(T$12='Model Setup'!$C$11-1,$C$4*(1+$C$5),0)</x:f>
        <x:v>0</x:v>
      </x:c>
      <x:c r="U13" s="30" t="n">
        <x:f>IF(U$12='Model Setup'!$C$11-1,$C$4*(1+$C$5),0)</x:f>
        <x:v>0</x:v>
      </x:c>
      <x:c r="V13" s="30" t="n">
        <x:f>IF(V$12='Model Setup'!$C$11-1,$C$4*(1+$C$5),0)</x:f>
        <x:v>0</x:v>
      </x:c>
      <x:c r="W13" s="30" t="n">
        <x:f>IF(W$12='Model Setup'!$C$11-1,$C$4*(1+$C$5),0)</x:f>
        <x:v>0</x:v>
      </x:c>
    </x:row>
    <x:row r="14">
      <x:c r="A14" t="str">
        <x:v>Augmentation capex</x:v>
      </x:c>
      <x:c r="B14" s="30" t="n">
        <x:f>IF(B$12='Degradation'!$C$5,'Degradation'!$C$7,0)</x:f>
        <x:v>0</x:v>
      </x:c>
      <x:c r="C14" s="30" t="n">
        <x:f>IF(C$12='Degradation'!$C$5,'Degradation'!$C$7,0)</x:f>
        <x:v>0</x:v>
      </x:c>
      <x:c r="D14" s="30" t="n">
        <x:f>IF(D$12='Degradation'!$C$5,'Degradation'!$C$7,0)</x:f>
        <x:v>0</x:v>
      </x:c>
      <x:c r="E14" s="30" t="n">
        <x:f>IF(E$12='Degradation'!$C$5,'Degradation'!$C$7,0)</x:f>
        <x:v>0</x:v>
      </x:c>
      <x:c r="F14" s="30" t="n">
        <x:f>IF(F$12='Degradation'!$C$5,'Degradation'!$C$7,0)</x:f>
        <x:v>0</x:v>
      </x:c>
      <x:c r="G14" s="30" t="n">
        <x:f>IF(G$12='Degradation'!$C$5,'Degradation'!$C$7,0)</x:f>
        <x:v>0</x:v>
      </x:c>
      <x:c r="H14" s="30" t="n">
        <x:f>IF(H$12='Degradation'!$C$5,'Degradation'!$C$7,0)</x:f>
        <x:v>0</x:v>
      </x:c>
      <x:c r="I14" s="30" t="n">
        <x:f>IF(I$12='Degradation'!$C$5,'Degradation'!$C$7,0)</x:f>
        <x:v>0</x:v>
      </x:c>
      <x:c r="J14" s="30" t="n">
        <x:f>IF(J$12='Degradation'!$C$5,'Degradation'!$C$7,0)</x:f>
        <x:v>0</x:v>
      </x:c>
      <x:c r="K14" s="30" t="n">
        <x:f>IF(K$12='Degradation'!$C$5,'Degradation'!$C$7,0)</x:f>
        <x:v>21</x:v>
      </x:c>
      <x:c r="L14" s="30" t="n">
        <x:f>IF(L$12='Degradation'!$C$5,'Degradation'!$C$7,0)</x:f>
        <x:v>0</x:v>
      </x:c>
      <x:c r="M14" s="30" t="n">
        <x:f>IF(M$12='Degradation'!$C$5,'Degradation'!$C$7,0)</x:f>
        <x:v>0</x:v>
      </x:c>
      <x:c r="N14" s="30" t="n">
        <x:f>IF(N$12='Degradation'!$C$5,'Degradation'!$C$7,0)</x:f>
        <x:v>0</x:v>
      </x:c>
      <x:c r="O14" s="30" t="n">
        <x:f>IF(O$12='Degradation'!$C$5,'Degradation'!$C$7,0)</x:f>
        <x:v>0</x:v>
      </x:c>
      <x:c r="P14" s="30" t="n">
        <x:f>IF(P$12='Degradation'!$C$5,'Degradation'!$C$7,0)</x:f>
        <x:v>0</x:v>
      </x:c>
      <x:c r="Q14" s="30" t="n">
        <x:f>IF(Q$12='Degradation'!$C$5,'Degradation'!$C$7,0)</x:f>
        <x:v>0</x:v>
      </x:c>
      <x:c r="R14" s="30" t="n">
        <x:f>IF(R$12='Degradation'!$C$5,'Degradation'!$C$7,0)</x:f>
        <x:v>0</x:v>
      </x:c>
      <x:c r="S14" s="30" t="n">
        <x:f>IF(S$12='Degradation'!$C$5,'Degradation'!$C$7,0)</x:f>
        <x:v>0</x:v>
      </x:c>
      <x:c r="T14" s="30" t="n">
        <x:f>IF(T$12='Degradation'!$C$5,'Degradation'!$C$7,0)</x:f>
        <x:v>0</x:v>
      </x:c>
      <x:c r="U14" s="30" t="n">
        <x:f>IF(U$12='Degradation'!$C$5,'Degradation'!$C$7,0)</x:f>
        <x:v>0</x:v>
      </x:c>
      <x:c r="V14" s="30" t="n">
        <x:f>IF(V$12='Degradation'!$C$5,'Degradation'!$C$7,0)</x:f>
        <x:v>0</x:v>
      </x:c>
      <x:c r="W14" s="30" t="n">
        <x:f>IF(W$12='Degradation'!$C$5,'Degradation'!$C$7,0)</x:f>
        <x:v>0</x:v>
      </x:c>
    </x:row>
    <x:row r="15">
      <x:c r="A15" t="str">
        <x:v>Fixed opex</x:v>
      </x:c>
      <x:c r="B15" s="30" t="n">
        <x:f>IF(B$12&gt;='Model Setup'!$C$11,$C$6,0)</x:f>
        <x:v>0</x:v>
      </x:c>
      <x:c r="C15" s="30" t="n">
        <x:f>IF(C$12&gt;='Model Setup'!$C$11,$C$6,0)</x:f>
        <x:v>4.8</x:v>
      </x:c>
      <x:c r="D15" s="30" t="n">
        <x:f>IF(D$12&gt;='Model Setup'!$C$11,$C$6,0)</x:f>
        <x:v>4.8</x:v>
      </x:c>
      <x:c r="E15" s="30" t="n">
        <x:f>IF(E$12&gt;='Model Setup'!$C$11,$C$6,0)</x:f>
        <x:v>4.8</x:v>
      </x:c>
      <x:c r="F15" s="30" t="n">
        <x:f>IF(F$12&gt;='Model Setup'!$C$11,$C$6,0)</x:f>
        <x:v>4.8</x:v>
      </x:c>
      <x:c r="G15" s="30" t="n">
        <x:f>IF(G$12&gt;='Model Setup'!$C$11,$C$6,0)</x:f>
        <x:v>4.8</x:v>
      </x:c>
      <x:c r="H15" s="30" t="n">
        <x:f>IF(H$12&gt;='Model Setup'!$C$11,$C$6,0)</x:f>
        <x:v>4.8</x:v>
      </x:c>
      <x:c r="I15" s="30" t="n">
        <x:f>IF(I$12&gt;='Model Setup'!$C$11,$C$6,0)</x:f>
        <x:v>4.8</x:v>
      </x:c>
      <x:c r="J15" s="30" t="n">
        <x:f>IF(J$12&gt;='Model Setup'!$C$11,$C$6,0)</x:f>
        <x:v>4.8</x:v>
      </x:c>
      <x:c r="K15" s="30" t="n">
        <x:f>IF(K$12&gt;='Model Setup'!$C$11,$C$6,0)</x:f>
        <x:v>4.8</x:v>
      </x:c>
      <x:c r="L15" s="30" t="n">
        <x:f>IF(L$12&gt;='Model Setup'!$C$11,$C$6,0)</x:f>
        <x:v>4.8</x:v>
      </x:c>
      <x:c r="M15" s="30" t="n">
        <x:f>IF(M$12&gt;='Model Setup'!$C$11,$C$6,0)</x:f>
        <x:v>4.8</x:v>
      </x:c>
      <x:c r="N15" s="30" t="n">
        <x:f>IF(N$12&gt;='Model Setup'!$C$11,$C$6,0)</x:f>
        <x:v>4.8</x:v>
      </x:c>
      <x:c r="O15" s="30" t="n">
        <x:f>IF(O$12&gt;='Model Setup'!$C$11,$C$6,0)</x:f>
        <x:v>4.8</x:v>
      </x:c>
      <x:c r="P15" s="30" t="n">
        <x:f>IF(P$12&gt;='Model Setup'!$C$11,$C$6,0)</x:f>
        <x:v>4.8</x:v>
      </x:c>
      <x:c r="Q15" s="30" t="n">
        <x:f>IF(Q$12&gt;='Model Setup'!$C$11,$C$6,0)</x:f>
        <x:v>4.8</x:v>
      </x:c>
      <x:c r="R15" s="30" t="n">
        <x:f>IF(R$12&gt;='Model Setup'!$C$11,$C$6,0)</x:f>
        <x:v>4.8</x:v>
      </x:c>
      <x:c r="S15" s="30" t="n">
        <x:f>IF(S$12&gt;='Model Setup'!$C$11,$C$6,0)</x:f>
        <x:v>4.8</x:v>
      </x:c>
      <x:c r="T15" s="30" t="n">
        <x:f>IF(T$12&gt;='Model Setup'!$C$11,$C$6,0)</x:f>
        <x:v>4.8</x:v>
      </x:c>
      <x:c r="U15" s="30" t="n">
        <x:f>IF(U$12&gt;='Model Setup'!$C$11,$C$6,0)</x:f>
        <x:v>4.8</x:v>
      </x:c>
      <x:c r="V15" s="30" t="n">
        <x:f>IF(V$12&gt;='Model Setup'!$C$11,$C$6,0)</x:f>
        <x:v>4.8</x:v>
      </x:c>
      <x:c r="W15" s="30" t="n">
        <x:f>IF(W$12&gt;='Model Setup'!$C$11,$C$6,0)</x:f>
        <x:v>4.8</x:v>
      </x:c>
    </x:row>
    <x:row r="16">
      <x:c r="A16" t="str">
        <x:v>Variable opex</x:v>
      </x:c>
      <x:c r="B16" s="30" t="e">
        <x:f>'Revenue Stack'!B13*$C$7/1000</x:f>
      </x:c>
      <x:c r="C16" s="30" t="n">
        <x:f>'Revenue Stack'!C13*$C$7/1000</x:f>
        <x:v>582859.5647999999</x:v>
      </x:c>
      <x:c r="D16" s="30" t="n">
        <x:f>'Revenue Stack'!D13*$C$7/1000</x:f>
        <x:v>0</x:v>
      </x:c>
      <x:c r="E16" s="30" t="n">
        <x:f>'Revenue Stack'!E13*$C$7/1000</x:f>
        <x:v>0</x:v>
      </x:c>
      <x:c r="F16" s="30" t="n">
        <x:f>'Revenue Stack'!F13*$C$7/1000</x:f>
        <x:v>0</x:v>
      </x:c>
      <x:c r="G16" s="30" t="n">
        <x:f>'Revenue Stack'!G13*$C$7/1000</x:f>
        <x:v>0</x:v>
      </x:c>
      <x:c r="H16" s="30" t="n">
        <x:f>'Revenue Stack'!H13*$C$7/1000</x:f>
        <x:v>0</x:v>
      </x:c>
      <x:c r="I16" s="30" t="n">
        <x:f>'Revenue Stack'!I13*$C$7/1000</x:f>
        <x:v>0</x:v>
      </x:c>
      <x:c r="J16" s="30" t="n">
        <x:f>'Revenue Stack'!J13*$C$7/1000</x:f>
        <x:v>0</x:v>
      </x:c>
      <x:c r="K16" s="30" t="n">
        <x:f>'Revenue Stack'!K13*$C$7/1000</x:f>
        <x:v>0</x:v>
      </x:c>
      <x:c r="L16" s="30" t="n">
        <x:f>'Revenue Stack'!L13*$C$7/1000</x:f>
        <x:v>0</x:v>
      </x:c>
      <x:c r="M16" s="30" t="n">
        <x:f>'Revenue Stack'!M13*$C$7/1000</x:f>
        <x:v>0</x:v>
      </x:c>
      <x:c r="N16" s="30" t="n">
        <x:f>'Revenue Stack'!N13*$C$7/1000</x:f>
        <x:v>0</x:v>
      </x:c>
      <x:c r="O16" s="30" t="n">
        <x:f>'Revenue Stack'!O13*$C$7/1000</x:f>
        <x:v>0</x:v>
      </x:c>
      <x:c r="P16" s="30" t="n">
        <x:f>'Revenue Stack'!P13*$C$7/1000</x:f>
        <x:v>0</x:v>
      </x:c>
      <x:c r="Q16" s="30" t="n">
        <x:f>'Revenue Stack'!Q13*$C$7/1000</x:f>
        <x:v>0</x:v>
      </x:c>
      <x:c r="R16" s="30" t="n">
        <x:f>'Revenue Stack'!R13*$C$7/1000</x:f>
        <x:v>0</x:v>
      </x:c>
      <x:c r="S16" s="30" t="n">
        <x:f>'Revenue Stack'!S13*$C$7/1000</x:f>
        <x:v>0</x:v>
      </x:c>
      <x:c r="T16" s="30" t="n">
        <x:f>'Revenue Stack'!T13*$C$7/1000</x:f>
        <x:v>0</x:v>
      </x:c>
      <x:c r="U16" s="30" t="n">
        <x:f>'Revenue Stack'!U13*$C$7/1000</x:f>
        <x:v>0</x:v>
      </x:c>
      <x:c r="V16" s="30" t="n">
        <x:f>'Revenue Stack'!V13*$C$7/1000</x:f>
        <x:v>0</x:v>
      </x:c>
      <x:c r="W16" s="30" t="n">
        <x:f>'Revenue Stack'!W13*$C$7/1000</x:f>
        <x:v>0</x:v>
      </x:c>
    </x:row>
    <x:row r="17">
      <x:c r="A17" t="str">
        <x:v>Insurance + lease</x:v>
      </x:c>
      <x:c r="B17" s="30" t="n">
        <x:f>$C$4*$C$8+$C$9</x:f>
        <x:v>1.812</x:v>
      </x:c>
      <x:c r="C17" s="30" t="n">
        <x:f>$C$4*$C$8+$C$9</x:f>
        <x:v>1.812</x:v>
      </x:c>
      <x:c r="D17" s="30" t="n">
        <x:f>$C$4*$C$8+$C$9</x:f>
        <x:v>1.812</x:v>
      </x:c>
      <x:c r="E17" s="30" t="n">
        <x:f>$C$4*$C$8+$C$9</x:f>
        <x:v>1.812</x:v>
      </x:c>
      <x:c r="F17" s="30" t="n">
        <x:f>$C$4*$C$8+$C$9</x:f>
        <x:v>1.812</x:v>
      </x:c>
      <x:c r="G17" s="30" t="n">
        <x:f>$C$4*$C$8+$C$9</x:f>
        <x:v>1.812</x:v>
      </x:c>
      <x:c r="H17" s="30" t="n">
        <x:f>$C$4*$C$8+$C$9</x:f>
        <x:v>1.812</x:v>
      </x:c>
      <x:c r="I17" s="30" t="n">
        <x:f>$C$4*$C$8+$C$9</x:f>
        <x:v>1.812</x:v>
      </x:c>
      <x:c r="J17" s="30" t="n">
        <x:f>$C$4*$C$8+$C$9</x:f>
        <x:v>1.812</x:v>
      </x:c>
      <x:c r="K17" s="30" t="n">
        <x:f>$C$4*$C$8+$C$9</x:f>
        <x:v>1.812</x:v>
      </x:c>
      <x:c r="L17" s="30" t="n">
        <x:f>$C$4*$C$8+$C$9</x:f>
        <x:v>1.812</x:v>
      </x:c>
      <x:c r="M17" s="30" t="n">
        <x:f>$C$4*$C$8+$C$9</x:f>
        <x:v>1.812</x:v>
      </x:c>
      <x:c r="N17" s="30" t="n">
        <x:f>$C$4*$C$8+$C$9</x:f>
        <x:v>1.812</x:v>
      </x:c>
      <x:c r="O17" s="30" t="n">
        <x:f>$C$4*$C$8+$C$9</x:f>
        <x:v>1.812</x:v>
      </x:c>
      <x:c r="P17" s="30" t="n">
        <x:f>$C$4*$C$8+$C$9</x:f>
        <x:v>1.812</x:v>
      </x:c>
      <x:c r="Q17" s="30" t="n">
        <x:f>$C$4*$C$8+$C$9</x:f>
        <x:v>1.812</x:v>
      </x:c>
      <x:c r="R17" s="30" t="n">
        <x:f>$C$4*$C$8+$C$9</x:f>
        <x:v>1.812</x:v>
      </x:c>
      <x:c r="S17" s="30" t="n">
        <x:f>$C$4*$C$8+$C$9</x:f>
        <x:v>1.812</x:v>
      </x:c>
      <x:c r="T17" s="30" t="n">
        <x:f>$C$4*$C$8+$C$9</x:f>
        <x:v>1.812</x:v>
      </x:c>
      <x:c r="U17" s="30" t="n">
        <x:f>$C$4*$C$8+$C$9</x:f>
        <x:v>1.812</x:v>
      </x:c>
      <x:c r="V17" s="30" t="n">
        <x:f>$C$4*$C$8+$C$9</x:f>
        <x:v>1.812</x:v>
      </x:c>
      <x:c r="W17" s="30" t="n">
        <x:f>$C$4*$C$8+$C$9</x:f>
        <x:v>1.812</x:v>
      </x:c>
    </x:row>
    <x:row r="18">
      <x:c r="A18" t="str">
        <x:v>Total cost</x:v>
      </x:c>
      <x:c r="B18" s="30" t="e">
        <x:f>SUM(B13:B17)</x:f>
      </x:c>
      <x:c r="C18" s="30" t="n">
        <x:f>SUM(C13:C17)</x:f>
        <x:v>582866.1768</x:v>
      </x:c>
      <x:c r="D18" s="30" t="n">
        <x:f>SUM(D13:D17)</x:f>
        <x:v>6.612</x:v>
      </x:c>
      <x:c r="E18" s="30" t="n">
        <x:f>SUM(E13:E17)</x:f>
        <x:v>6.612</x:v>
      </x:c>
      <x:c r="F18" s="30" t="n">
        <x:f>SUM(F13:F17)</x:f>
        <x:v>6.612</x:v>
      </x:c>
      <x:c r="G18" s="30" t="n">
        <x:f>SUM(G13:G17)</x:f>
        <x:v>6.612</x:v>
      </x:c>
      <x:c r="H18" s="30" t="n">
        <x:f>SUM(H13:H17)</x:f>
        <x:v>6.612</x:v>
      </x:c>
      <x:c r="I18" s="30" t="n">
        <x:f>SUM(I13:I17)</x:f>
        <x:v>6.612</x:v>
      </x:c>
      <x:c r="J18" s="30" t="n">
        <x:f>SUM(J13:J17)</x:f>
        <x:v>6.612</x:v>
      </x:c>
      <x:c r="K18" s="30" t="n">
        <x:f>SUM(K13:K17)</x:f>
        <x:v>27.612000000000002</x:v>
      </x:c>
      <x:c r="L18" s="30" t="n">
        <x:f>SUM(L13:L17)</x:f>
        <x:v>6.612</x:v>
      </x:c>
      <x:c r="M18" s="30" t="n">
        <x:f>SUM(M13:M17)</x:f>
        <x:v>6.612</x:v>
      </x:c>
      <x:c r="N18" s="30" t="n">
        <x:f>SUM(N13:N17)</x:f>
        <x:v>6.612</x:v>
      </x:c>
      <x:c r="O18" s="30" t="n">
        <x:f>SUM(O13:O17)</x:f>
        <x:v>6.612</x:v>
      </x:c>
      <x:c r="P18" s="30" t="n">
        <x:f>SUM(P13:P17)</x:f>
        <x:v>6.612</x:v>
      </x:c>
      <x:c r="Q18" s="30" t="n">
        <x:f>SUM(Q13:Q17)</x:f>
        <x:v>6.612</x:v>
      </x:c>
      <x:c r="R18" s="30" t="n">
        <x:f>SUM(R13:R17)</x:f>
        <x:v>6.612</x:v>
      </x:c>
      <x:c r="S18" s="30" t="n">
        <x:f>SUM(S13:S17)</x:f>
        <x:v>6.612</x:v>
      </x:c>
      <x:c r="T18" s="30" t="n">
        <x:f>SUM(T13:T17)</x:f>
        <x:v>6.612</x:v>
      </x:c>
      <x:c r="U18" s="30" t="n">
        <x:f>SUM(U13:U17)</x:f>
        <x:v>6.612</x:v>
      </x:c>
      <x:c r="V18" s="30" t="n">
        <x:f>SUM(V13:V17)</x:f>
        <x:v>6.612</x:v>
      </x:c>
      <x:c r="W18" s="30" t="n">
        <x:f>SUM(W13:W17)</x:f>
        <x:v>6.612</x:v>
      </x:c>
    </x:row>
  </x:sheetData>
  <x:mergeCells>
    <x:mergeCell ref="A1:W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6" hidden="0" customWidth="1"/>
  </x:cols>
  <x:sheetData>
    <x:row r="1" ht="26" customHeight="1">
      <x:c r="A1" s="5" t="str">
        <x:v>Funding and Covenant Model</x:v>
      </x:c>
    </x:row>
    <x:row r="3">
      <x:c r="A3" s="14" t="str">
        <x:v>Financing input</x:v>
      </x:c>
      <x:c r="B3" s="14" t="str">
        <x:v>Unit</x:v>
      </x:c>
      <x:c r="C3" s="14" t="str">
        <x:v>Value</x:v>
      </x:c>
    </x:row>
    <x:row r="4">
      <x:c r="A4" t="str">
        <x:v>Debt tenor</x:v>
      </x:c>
      <x:c r="B4" t="str">
        <x:v>Years</x:v>
      </x:c>
      <x:c r="C4" s="22" t="n">
        <x:v>12</x:v>
      </x:c>
    </x:row>
    <x:row r="5">
      <x:c r="A5" t="str">
        <x:v>Target DSCR</x:v>
      </x:c>
      <x:c r="B5" t="str">
        <x:v>x</x:v>
      </x:c>
      <x:c r="C5" s="26" t="n">
        <x:v>1.3</x:v>
      </x:c>
    </x:row>
    <x:row r="6">
      <x:c r="A6" t="str">
        <x:v>Minimum LLCR</x:v>
      </x:c>
      <x:c r="B6" t="str">
        <x:v>x</x:v>
      </x:c>
      <x:c r="C6" s="26" t="n">
        <x:v>1.45</x:v>
      </x:c>
    </x:row>
    <x:row r="7">
      <x:c r="A7" t="str">
        <x:v>Debt service reserve</x:v>
      </x:c>
      <x:c r="B7" t="str">
        <x:v>Months</x:v>
      </x:c>
      <x:c r="C7" s="22" t="n">
        <x:v>6</x:v>
      </x:c>
    </x:row>
    <x:row r="8">
      <x:c r="A8" t="str">
        <x:v>Upfront fee</x:v>
      </x:c>
      <x:c r="B8" t="str">
        <x:v>%</x:v>
      </x:c>
      <x:c r="C8" s="24" t="n">
        <x:v>0.012</x:v>
      </x:c>
    </x:row>
    <x:row r="9">
      <x:c r="A9" t="str">
        <x:v>Cash sweep</x:v>
      </x:c>
      <x:c r="B9" t="str">
        <x:v>%</x:v>
      </x:c>
      <x:c r="C9" s="24" t="n">
        <x:v>0.5</x:v>
      </x:c>
    </x:row>
    <x:row r="11">
      <x:c r="A11" s="14" t="str">
        <x:v>Metric</x:v>
      </x:c>
      <x:c r="B11" s="14" t="n">
        <x:v>2027</x:v>
      </x:c>
      <x:c r="C11" s="14" t="n">
        <x:v>2028</x:v>
      </x:c>
      <x:c r="D11" s="14" t="n">
        <x:v>2029</x:v>
      </x:c>
      <x:c r="E11" s="14" t="n">
        <x:v>2030</x:v>
      </x:c>
      <x:c r="F11" s="14" t="n">
        <x:v>2031</x:v>
      </x:c>
      <x:c r="G11" s="14" t="n">
        <x:v>2032</x:v>
      </x:c>
      <x:c r="H11" s="14" t="n">
        <x:v>2033</x:v>
      </x:c>
      <x:c r="I11" s="14" t="n">
        <x:v>2034</x:v>
      </x:c>
      <x:c r="J11" s="14" t="n">
        <x:v>2035</x:v>
      </x:c>
      <x:c r="K11" s="14" t="n">
        <x:v>2036</x:v>
      </x:c>
      <x:c r="L11" s="14" t="n">
        <x:v>2037</x:v>
      </x:c>
      <x:c r="M11" s="14" t="n">
        <x:v>2038</x:v>
      </x:c>
      <x:c r="N11" s="14" t="n">
        <x:v>2039</x:v>
      </x:c>
      <x:c r="O11" s="14" t="n">
        <x:v>2040</x:v>
      </x:c>
      <x:c r="P11" s="14" t="n">
        <x:v>2041</x:v>
      </x:c>
      <x:c r="Q11" s="14" t="n">
        <x:v>2042</x:v>
      </x:c>
      <x:c r="R11" s="14" t="n">
        <x:v>2043</x:v>
      </x:c>
      <x:c r="S11" s="14" t="n">
        <x:v>2044</x:v>
      </x:c>
      <x:c r="T11" s="14" t="n">
        <x:v>2045</x:v>
      </x:c>
      <x:c r="U11" s="14" t="n">
        <x:v>2046</x:v>
      </x:c>
      <x:c r="V11" s="14" t="n">
        <x:v>2047</x:v>
      </x:c>
      <x:c r="W11" s="14" t="n">
        <x:v>2048</x:v>
      </x:c>
    </x:row>
    <x:row r="12">
      <x:c r="A12" t="str">
        <x:v>Opening debt</x:v>
      </x:c>
      <x:c r="B12" s="28" t="n">
        <x:f>'Capex Opex'!$C$4*'Model Setup'!$C$13</x:f>
        <x:v>94.24</x:v>
      </x:c>
      <x:c r="C12" s="28" t="n">
        <x:f>B17</x:f>
        <x:v>94.24</x:v>
      </x:c>
      <x:c r="D12" s="28" t="n">
        <x:f>C17</x:f>
        <x:v>94.24</x:v>
      </x:c>
      <x:c r="E12" s="28" t="n">
        <x:f>D17</x:f>
        <x:v>94.24</x:v>
      </x:c>
      <x:c r="F12" s="28" t="n">
        <x:f>E17</x:f>
        <x:v>94.24</x:v>
      </x:c>
      <x:c r="G12" s="28" t="n">
        <x:f>F17</x:f>
        <x:v>94.24</x:v>
      </x:c>
      <x:c r="H12" s="28" t="n">
        <x:f>G17</x:f>
        <x:v>94.24</x:v>
      </x:c>
      <x:c r="I12" s="28" t="n">
        <x:f>H17</x:f>
        <x:v>94.24</x:v>
      </x:c>
      <x:c r="J12" s="28" t="n">
        <x:f>I17</x:f>
        <x:v>94.24</x:v>
      </x:c>
      <x:c r="K12" s="28" t="n">
        <x:f>J17</x:f>
        <x:v>94.24</x:v>
      </x:c>
      <x:c r="L12" s="28" t="n">
        <x:f>K17</x:f>
        <x:v>94.24</x:v>
      </x:c>
      <x:c r="M12" s="28" t="n">
        <x:f>L17</x:f>
        <x:v>94.24</x:v>
      </x:c>
      <x:c r="N12" s="28" t="n">
        <x:f>M17</x:f>
        <x:v>94.24</x:v>
      </x:c>
      <x:c r="O12" s="28" t="n">
        <x:f>N17</x:f>
        <x:v>94.24</x:v>
      </x:c>
      <x:c r="P12" s="28" t="n">
        <x:f>O17</x:f>
        <x:v>94.24</x:v>
      </x:c>
      <x:c r="Q12" s="28" t="n">
        <x:f>P17</x:f>
        <x:v>94.24</x:v>
      </x:c>
      <x:c r="R12" s="28" t="n">
        <x:f>Q17</x:f>
        <x:v>94.24</x:v>
      </x:c>
      <x:c r="S12" s="28" t="n">
        <x:f>R17</x:f>
        <x:v>94.24</x:v>
      </x:c>
      <x:c r="T12" s="28" t="n">
        <x:f>S17</x:f>
        <x:v>94.24</x:v>
      </x:c>
      <x:c r="U12" s="28" t="n">
        <x:f>T17</x:f>
        <x:v>94.24</x:v>
      </x:c>
      <x:c r="V12" s="28" t="n">
        <x:f>U17</x:f>
        <x:v>94.24</x:v>
      </x:c>
      <x:c r="W12" s="28" t="n">
        <x:f>V17</x:f>
        <x:v>94.24</x:v>
      </x:c>
    </x:row>
    <x:row r="13">
      <x:c r="A13" t="str">
        <x:v>Interest</x:v>
      </x:c>
      <x:c r="B13" s="28" t="n">
        <x:f>B12*('Model Setup'!$C$14+'Model Setup'!$C$15)</x:f>
        <x:v>5.84288</x:v>
      </x:c>
      <x:c r="C13" s="28" t="n">
        <x:f>C12*('Model Setup'!$C$14+'Model Setup'!$C$15)</x:f>
        <x:v>5.84288</x:v>
      </x:c>
      <x:c r="D13" s="28" t="n">
        <x:f>D12*('Model Setup'!$C$14+'Model Setup'!$C$15)</x:f>
        <x:v>5.84288</x:v>
      </x:c>
      <x:c r="E13" s="28" t="n">
        <x:f>E12*('Model Setup'!$C$14+'Model Setup'!$C$15)</x:f>
        <x:v>5.84288</x:v>
      </x:c>
      <x:c r="F13" s="28" t="n">
        <x:f>F12*('Model Setup'!$C$14+'Model Setup'!$C$15)</x:f>
        <x:v>5.84288</x:v>
      </x:c>
      <x:c r="G13" s="28" t="n">
        <x:f>G12*('Model Setup'!$C$14+'Model Setup'!$C$15)</x:f>
        <x:v>5.84288</x:v>
      </x:c>
      <x:c r="H13" s="28" t="n">
        <x:f>H12*('Model Setup'!$C$14+'Model Setup'!$C$15)</x:f>
        <x:v>5.84288</x:v>
      </x:c>
      <x:c r="I13" s="28" t="n">
        <x:f>I12*('Model Setup'!$C$14+'Model Setup'!$C$15)</x:f>
        <x:v>5.84288</x:v>
      </x:c>
      <x:c r="J13" s="28" t="n">
        <x:f>J12*('Model Setup'!$C$14+'Model Setup'!$C$15)</x:f>
        <x:v>5.84288</x:v>
      </x:c>
      <x:c r="K13" s="28" t="n">
        <x:f>K12*('Model Setup'!$C$14+'Model Setup'!$C$15)</x:f>
        <x:v>5.84288</x:v>
      </x:c>
      <x:c r="L13" s="28" t="n">
        <x:f>L12*('Model Setup'!$C$14+'Model Setup'!$C$15)</x:f>
        <x:v>5.84288</x:v>
      </x:c>
      <x:c r="M13" s="28" t="n">
        <x:f>M12*('Model Setup'!$C$14+'Model Setup'!$C$15)</x:f>
        <x:v>5.84288</x:v>
      </x:c>
      <x:c r="N13" s="28" t="n">
        <x:f>N12*('Model Setup'!$C$14+'Model Setup'!$C$15)</x:f>
        <x:v>5.84288</x:v>
      </x:c>
      <x:c r="O13" s="28" t="n">
        <x:f>O12*('Model Setup'!$C$14+'Model Setup'!$C$15)</x:f>
        <x:v>5.84288</x:v>
      </x:c>
      <x:c r="P13" s="28" t="n">
        <x:f>P12*('Model Setup'!$C$14+'Model Setup'!$C$15)</x:f>
        <x:v>5.84288</x:v>
      </x:c>
      <x:c r="Q13" s="28" t="n">
        <x:f>Q12*('Model Setup'!$C$14+'Model Setup'!$C$15)</x:f>
        <x:v>5.84288</x:v>
      </x:c>
      <x:c r="R13" s="28" t="n">
        <x:f>R12*('Model Setup'!$C$14+'Model Setup'!$C$15)</x:f>
        <x:v>5.84288</x:v>
      </x:c>
      <x:c r="S13" s="28" t="n">
        <x:f>S12*('Model Setup'!$C$14+'Model Setup'!$C$15)</x:f>
        <x:v>5.84288</x:v>
      </x:c>
      <x:c r="T13" s="28" t="n">
        <x:f>T12*('Model Setup'!$C$14+'Model Setup'!$C$15)</x:f>
        <x:v>5.84288</x:v>
      </x:c>
      <x:c r="U13" s="28" t="n">
        <x:f>U12*('Model Setup'!$C$14+'Model Setup'!$C$15)</x:f>
        <x:v>5.84288</x:v>
      </x:c>
      <x:c r="V13" s="28" t="n">
        <x:f>V12*('Model Setup'!$C$14+'Model Setup'!$C$15)</x:f>
        <x:v>5.84288</x:v>
      </x:c>
      <x:c r="W13" s="28" t="n">
        <x:f>W12*('Model Setup'!$C$14+'Model Setup'!$C$15)</x:f>
        <x:v>5.84288</x:v>
      </x:c>
    </x:row>
    <x:row r="14">
      <x:c r="A14" t="str">
        <x:v>CFADS</x:v>
      </x:c>
      <x:c r="B14" s="28" t="e">
        <x:f>'Revenue Stack'!B18-'Capex Opex'!B18</x:f>
      </x:c>
      <x:c r="C14" s="28" t="n">
        <x:f>'Revenue Stack'!C18-'Capex Opex'!C18</x:f>
        <x:v>-557805.765859584</x:v>
      </x:c>
      <x:c r="D14" s="28" t="n">
        <x:f>'Revenue Stack'!D18-'Capex Opex'!D18</x:f>
        <x:v>6.640559999999999</x:v>
      </x:c>
      <x:c r="E14" s="28" t="n">
        <x:f>'Revenue Stack'!E18-'Capex Opex'!E18</x:f>
        <x:v>6.495246</x:v>
      </x:c>
      <x:c r="F14" s="28" t="n">
        <x:f>'Revenue Stack'!F18-'Capex Opex'!F18</x:f>
        <x:v>6.35356485</x:v>
      </x:c>
      <x:c r="G14" s="28" t="n">
        <x:f>'Revenue Stack'!G18-'Capex Opex'!G18</x:f>
        <x:v>6.215425728749999</x:v>
      </x:c>
      <x:c r="H14" s="28" t="n">
        <x:f>'Revenue Stack'!H18-'Capex Opex'!H18</x:f>
        <x:v>6.08074008553125</x:v>
      </x:c>
      <x:c r="I14" s="28" t="n">
        <x:f>'Revenue Stack'!I18-'Capex Opex'!I18</x:f>
        <x:v>5.949421583392969</x:v>
      </x:c>
      <x:c r="J14" s="28" t="n">
        <x:f>'Revenue Stack'!J18-'Capex Opex'!J18</x:f>
        <x:v>5.821386043808145</x:v>
      </x:c>
      <x:c r="K14" s="28" t="n">
        <x:f>'Revenue Stack'!K18-'Capex Opex'!K18</x:f>
        <x:v>-15.303448607287061</x:v>
      </x:c>
      <x:c r="L14" s="28" t="n">
        <x:f>'Revenue Stack'!L18-'Capex Opex'!L18</x:f>
        <x:v>5.574837607895118</x:v>
      </x:c>
      <x:c r="M14" s="28" t="n">
        <x:f>'Revenue Stack'!M18-'Capex Opex'!M18</x:f>
        <x:v>2.8521666676977375</x:v>
      </x:c>
      <x:c r="N14" s="28" t="n">
        <x:f>'Revenue Stack'!N18-'Capex Opex'!N18</x:f>
        <x:v>2.7364625010052936</x:v>
      </x:c>
      <x:c r="O14" s="28" t="n">
        <x:f>'Revenue Stack'!O18-'Capex Opex'!O18</x:f>
        <x:v>2.6236509384801625</x:v>
      </x:c>
      <x:c r="P14" s="28" t="n">
        <x:f>'Revenue Stack'!P18-'Capex Opex'!P18</x:f>
        <x:v>2.5136596650181566</x:v>
      </x:c>
      <x:c r="Q14" s="28" t="n">
        <x:f>'Revenue Stack'!Q18-'Capex Opex'!Q18</x:f>
        <x:v>2.4064181733927033</x:v>
      </x:c>
      <x:c r="R14" s="28" t="n">
        <x:f>'Revenue Stack'!R18-'Capex Opex'!R18</x:f>
        <x:v>2.3018577190578853</x:v>
      </x:c>
      <x:c r="S14" s="28" t="n">
        <x:f>'Revenue Stack'!S18-'Capex Opex'!S18</x:f>
        <x:v>2.1999112760814388</x:v>
      </x:c>
      <x:c r="T14" s="28" t="n">
        <x:f>'Revenue Stack'!T18-'Capex Opex'!T18</x:f>
        <x:v>2.1005134941794044</x:v>
      </x:c>
      <x:c r="U14" s="28" t="n">
        <x:f>'Revenue Stack'!U18-'Capex Opex'!U18</x:f>
        <x:v>2.0036006568249167</x:v>
      </x:c>
      <x:c r="V14" s="28" t="n">
        <x:f>'Revenue Stack'!V18-'Capex Opex'!V18</x:f>
        <x:v>1.909110640404295</x:v>
      </x:c>
      <x:c r="W14" s="28" t="n">
        <x:f>'Revenue Stack'!W18-'Capex Opex'!W18</x:f>
        <x:v>1.8169828743941867</x:v>
      </x:c>
    </x:row>
    <x:row r="15">
      <x:c r="A15" t="str">
        <x:v>Debt service</x:v>
      </x:c>
      <x:c r="B15" s="28" t="n">
        <x:f>IF(B$11&gt;='Model Setup'!$C$11,B14/$C$5,0)</x:f>
        <x:v>0</x:v>
      </x:c>
      <x:c r="C15" s="28" t="n">
        <x:f>IF(C$11&gt;='Model Setup'!$C$11,C14/$C$5,0)</x:f>
        <x:v>-429081.3583535261</x:v>
      </x:c>
      <x:c r="D15" s="28" t="n">
        <x:f>IF(D$11&gt;='Model Setup'!$C$11,D14/$C$5,0)</x:f>
        <x:v>5.108123076923076</x:v>
      </x:c>
      <x:c r="E15" s="28" t="n">
        <x:f>IF(E$11&gt;='Model Setup'!$C$11,E14/$C$5,0)</x:f>
        <x:v>4.996343076923076</x:v>
      </x:c>
      <x:c r="F15" s="28" t="n">
        <x:f>IF(F$11&gt;='Model Setup'!$C$11,F14/$C$5,0)</x:f>
        <x:v>4.887357576923076</x:v>
      </x:c>
      <x:c r="G15" s="28" t="n">
        <x:f>IF(G$11&gt;='Model Setup'!$C$11,G14/$C$5,0)</x:f>
        <x:v>4.781096714423076</x:v>
      </x:c>
      <x:c r="H15" s="28" t="n">
        <x:f>IF(H$11&gt;='Model Setup'!$C$11,H14/$C$5,0)</x:f>
        <x:v>4.677492373485577</x:v>
      </x:c>
      <x:c r="I15" s="28" t="n">
        <x:f>IF(I$11&gt;='Model Setup'!$C$11,I14/$C$5,0)</x:f>
        <x:v>4.576478141071514</x:v>
      </x:c>
      <x:c r="J15" s="28" t="n">
        <x:f>IF(J$11&gt;='Model Setup'!$C$11,J14/$C$5,0)</x:f>
        <x:v>4.477989264467804</x:v>
      </x:c>
      <x:c r="K15" s="28" t="n">
        <x:f>IF(K$11&gt;='Model Setup'!$C$11,K14/$C$5,0)</x:f>
        <x:v>-11.77188354406697</x:v>
      </x:c>
      <x:c r="L15" s="28" t="n">
        <x:f>IF(L$11&gt;='Model Setup'!$C$11,L14/$C$5,0)</x:f>
        <x:v>4.288336621457783</x:v>
      </x:c>
      <x:c r="M15" s="28" t="n">
        <x:f>IF(M$11&gt;='Model Setup'!$C$11,M14/$C$5,0)</x:f>
        <x:v>2.1939743597674903</x:v>
      </x:c>
      <x:c r="N15" s="28" t="n">
        <x:f>IF(N$11&gt;='Model Setup'!$C$11,N14/$C$5,0)</x:f>
        <x:v>2.1049711546194567</x:v>
      </x:c>
      <x:c r="O15" s="28" t="n">
        <x:f>IF(O$11&gt;='Model Setup'!$C$11,O14/$C$5,0)</x:f>
        <x:v>2.018193029600125</x:v>
      </x:c>
      <x:c r="P15" s="28" t="n">
        <x:f>IF(P$11&gt;='Model Setup'!$C$11,P14/$C$5,0)</x:f>
        <x:v>1.9335843577062743</x:v>
      </x:c>
      <x:c r="Q15" s="28" t="n">
        <x:f>IF(Q$11&gt;='Model Setup'!$C$11,Q14/$C$5,0)</x:f>
        <x:v>1.8510909026097717</x:v>
      </x:c>
      <x:c r="R15" s="28" t="n">
        <x:f>IF(R$11&gt;='Model Setup'!$C$11,R14/$C$5,0)</x:f>
        <x:v>1.770659783890681</x:v>
      </x:c>
      <x:c r="S15" s="28" t="n">
        <x:f>IF(S$11&gt;='Model Setup'!$C$11,S14/$C$5,0)</x:f>
        <x:v>1.6922394431395682</x:v>
      </x:c>
      <x:c r="T15" s="28" t="n">
        <x:f>IF(T$11&gt;='Model Setup'!$C$11,T14/$C$5,0)</x:f>
        <x:v>1.615779610907234</x:v>
      </x:c>
      <x:c r="U15" s="28" t="n">
        <x:f>IF(U$11&gt;='Model Setup'!$C$11,U14/$C$5,0)</x:f>
        <x:v>1.541231274480705</x:v>
      </x:c>
      <x:c r="V15" s="28" t="n">
        <x:f>IF(V$11&gt;='Model Setup'!$C$11,V14/$C$5,0)</x:f>
        <x:v>1.4685466464648422</x:v>
      </x:c>
      <x:c r="W15" s="28" t="n">
        <x:f>IF(W$11&gt;='Model Setup'!$C$11,W14/$C$5,0)</x:f>
        <x:v>1.3976791341493744</x:v>
      </x:c>
    </x:row>
    <x:row r="16">
      <x:c r="A16" t="str">
        <x:v>Principal</x:v>
      </x:c>
      <x:c r="B16" s="28" t="n">
        <x:f>MAX(0,B15-B13)</x:f>
        <x:v>0</x:v>
      </x:c>
      <x:c r="C16" s="28" t="n">
        <x:f>MAX(0,C15-C13)</x:f>
        <x:v>0</x:v>
      </x:c>
      <x:c r="D16" s="28" t="n">
        <x:f>MAX(0,D15-D13)</x:f>
        <x:v>0</x:v>
      </x:c>
      <x:c r="E16" s="28" t="n">
        <x:f>MAX(0,E15-E13)</x:f>
        <x:v>0</x:v>
      </x:c>
      <x:c r="F16" s="28" t="n">
        <x:f>MAX(0,F15-F13)</x:f>
        <x:v>0</x:v>
      </x:c>
      <x:c r="G16" s="28" t="n">
        <x:f>MAX(0,G15-G13)</x:f>
        <x:v>0</x:v>
      </x:c>
      <x:c r="H16" s="28" t="n">
        <x:f>MAX(0,H15-H13)</x:f>
        <x:v>0</x:v>
      </x:c>
      <x:c r="I16" s="28" t="n">
        <x:f>MAX(0,I15-I13)</x:f>
        <x:v>0</x:v>
      </x:c>
      <x:c r="J16" s="28" t="n">
        <x:f>MAX(0,J15-J13)</x:f>
        <x:v>0</x:v>
      </x:c>
      <x:c r="K16" s="28" t="n">
        <x:f>MAX(0,K15-K13)</x:f>
        <x:v>0</x:v>
      </x:c>
      <x:c r="L16" s="28" t="n">
        <x:f>MAX(0,L15-L13)</x:f>
        <x:v>0</x:v>
      </x:c>
      <x:c r="M16" s="28" t="n">
        <x:f>MAX(0,M15-M13)</x:f>
        <x:v>0</x:v>
      </x:c>
      <x:c r="N16" s="28" t="n">
        <x:f>MAX(0,N15-N13)</x:f>
        <x:v>0</x:v>
      </x:c>
      <x:c r="O16" s="28" t="n">
        <x:f>MAX(0,O15-O13)</x:f>
        <x:v>0</x:v>
      </x:c>
      <x:c r="P16" s="28" t="n">
        <x:f>MAX(0,P15-P13)</x:f>
        <x:v>0</x:v>
      </x:c>
      <x:c r="Q16" s="28" t="n">
        <x:f>MAX(0,Q15-Q13)</x:f>
        <x:v>0</x:v>
      </x:c>
      <x:c r="R16" s="28" t="n">
        <x:f>MAX(0,R15-R13)</x:f>
        <x:v>0</x:v>
      </x:c>
      <x:c r="S16" s="28" t="n">
        <x:f>MAX(0,S15-S13)</x:f>
        <x:v>0</x:v>
      </x:c>
      <x:c r="T16" s="28" t="n">
        <x:f>MAX(0,T15-T13)</x:f>
        <x:v>0</x:v>
      </x:c>
      <x:c r="U16" s="28" t="n">
        <x:f>MAX(0,U15-U13)</x:f>
        <x:v>0</x:v>
      </x:c>
      <x:c r="V16" s="28" t="n">
        <x:f>MAX(0,V15-V13)</x:f>
        <x:v>0</x:v>
      </x:c>
      <x:c r="W16" s="28" t="n">
        <x:f>MAX(0,W15-W13)</x:f>
        <x:v>0</x:v>
      </x:c>
    </x:row>
    <x:row r="17">
      <x:c r="A17" t="str">
        <x:v>Closing debt</x:v>
      </x:c>
      <x:c r="B17" s="28" t="n">
        <x:f>MAX(0,B12-B16)</x:f>
        <x:v>94.24</x:v>
      </x:c>
      <x:c r="C17" s="28" t="n">
        <x:f>MAX(0,C12-C16)</x:f>
        <x:v>94.24</x:v>
      </x:c>
      <x:c r="D17" s="28" t="n">
        <x:f>MAX(0,D12-D16)</x:f>
        <x:v>94.24</x:v>
      </x:c>
      <x:c r="E17" s="28" t="n">
        <x:f>MAX(0,E12-E16)</x:f>
        <x:v>94.24</x:v>
      </x:c>
      <x:c r="F17" s="28" t="n">
        <x:f>MAX(0,F12-F16)</x:f>
        <x:v>94.24</x:v>
      </x:c>
      <x:c r="G17" s="28" t="n">
        <x:f>MAX(0,G12-G16)</x:f>
        <x:v>94.24</x:v>
      </x:c>
      <x:c r="H17" s="28" t="n">
        <x:f>MAX(0,H12-H16)</x:f>
        <x:v>94.24</x:v>
      </x:c>
      <x:c r="I17" s="28" t="n">
        <x:f>MAX(0,I12-I16)</x:f>
        <x:v>94.24</x:v>
      </x:c>
      <x:c r="J17" s="28" t="n">
        <x:f>MAX(0,J12-J16)</x:f>
        <x:v>94.24</x:v>
      </x:c>
      <x:c r="K17" s="28" t="n">
        <x:f>MAX(0,K12-K16)</x:f>
        <x:v>94.24</x:v>
      </x:c>
      <x:c r="L17" s="28" t="n">
        <x:f>MAX(0,L12-L16)</x:f>
        <x:v>94.24</x:v>
      </x:c>
      <x:c r="M17" s="28" t="n">
        <x:f>MAX(0,M12-M16)</x:f>
        <x:v>94.24</x:v>
      </x:c>
      <x:c r="N17" s="28" t="n">
        <x:f>MAX(0,N12-N16)</x:f>
        <x:v>94.24</x:v>
      </x:c>
      <x:c r="O17" s="28" t="n">
        <x:f>MAX(0,O12-O16)</x:f>
        <x:v>94.24</x:v>
      </x:c>
      <x:c r="P17" s="28" t="n">
        <x:f>MAX(0,P12-P16)</x:f>
        <x:v>94.24</x:v>
      </x:c>
      <x:c r="Q17" s="28" t="n">
        <x:f>MAX(0,Q12-Q16)</x:f>
        <x:v>94.24</x:v>
      </x:c>
      <x:c r="R17" s="28" t="n">
        <x:f>MAX(0,R12-R16)</x:f>
        <x:v>94.24</x:v>
      </x:c>
      <x:c r="S17" s="28" t="n">
        <x:f>MAX(0,S12-S16)</x:f>
        <x:v>94.24</x:v>
      </x:c>
      <x:c r="T17" s="28" t="n">
        <x:f>MAX(0,T12-T16)</x:f>
        <x:v>94.24</x:v>
      </x:c>
      <x:c r="U17" s="28" t="n">
        <x:f>MAX(0,U12-U16)</x:f>
        <x:v>94.24</x:v>
      </x:c>
      <x:c r="V17" s="28" t="n">
        <x:f>MAX(0,V12-V16)</x:f>
        <x:v>94.24</x:v>
      </x:c>
      <x:c r="W17" s="28" t="n">
        <x:f>MAX(0,W12-W16)</x:f>
        <x:v>94.24</x:v>
      </x:c>
    </x:row>
    <x:row r="18">
      <x:c r="A18" t="str">
        <x:v>DSCR</x:v>
      </x:c>
      <x:c r="B18" s="36" t="n">
        <x:f>IFERROR(B14/B15,0)</x:f>
        <x:v>0</x:v>
      </x:c>
      <x:c r="C18" s="36" t="n">
        <x:f>IFERROR(C14/C15,0)</x:f>
        <x:v>1.3</x:v>
      </x:c>
      <x:c r="D18" s="36" t="n">
        <x:f>IFERROR(D14/D15,0)</x:f>
        <x:v>1.3</x:v>
      </x:c>
      <x:c r="E18" s="36" t="n">
        <x:f>IFERROR(E14/E15,0)</x:f>
        <x:v>1.3</x:v>
      </x:c>
      <x:c r="F18" s="36" t="n">
        <x:f>IFERROR(F14/F15,0)</x:f>
        <x:v>1.3</x:v>
      </x:c>
      <x:c r="G18" s="36" t="n">
        <x:f>IFERROR(G14/G15,0)</x:f>
        <x:v>1.3</x:v>
      </x:c>
      <x:c r="H18" s="36" t="n">
        <x:f>IFERROR(H14/H15,0)</x:f>
        <x:v>1.3</x:v>
      </x:c>
      <x:c r="I18" s="36" t="n">
        <x:f>IFERROR(I14/I15,0)</x:f>
        <x:v>1.3</x:v>
      </x:c>
      <x:c r="J18" s="36" t="n">
        <x:f>IFERROR(J14/J15,0)</x:f>
        <x:v>1.3</x:v>
      </x:c>
      <x:c r="K18" s="36" t="n">
        <x:f>IFERROR(K14/K15,0)</x:f>
        <x:v>1.3</x:v>
      </x:c>
      <x:c r="L18" s="36" t="n">
        <x:f>IFERROR(L14/L15,0)</x:f>
        <x:v>1.3</x:v>
      </x:c>
      <x:c r="M18" s="36" t="n">
        <x:f>IFERROR(M14/M15,0)</x:f>
        <x:v>1.3</x:v>
      </x:c>
      <x:c r="N18" s="36" t="n">
        <x:f>IFERROR(N14/N15,0)</x:f>
        <x:v>1.3</x:v>
      </x:c>
      <x:c r="O18" s="36" t="n">
        <x:f>IFERROR(O14/O15,0)</x:f>
        <x:v>1.2999999999999998</x:v>
      </x:c>
      <x:c r="P18" s="36" t="n">
        <x:f>IFERROR(P14/P15,0)</x:f>
        <x:v>1.3</x:v>
      </x:c>
      <x:c r="Q18" s="36" t="n">
        <x:f>IFERROR(Q14/Q15,0)</x:f>
        <x:v>1.3</x:v>
      </x:c>
      <x:c r="R18" s="36" t="n">
        <x:f>IFERROR(R14/R15,0)</x:f>
        <x:v>1.3</x:v>
      </x:c>
      <x:c r="S18" s="36" t="n">
        <x:f>IFERROR(S14/S15,0)</x:f>
        <x:v>1.3</x:v>
      </x:c>
      <x:c r="T18" s="36" t="n">
        <x:f>IFERROR(T14/T15,0)</x:f>
        <x:v>1.3</x:v>
      </x:c>
      <x:c r="U18" s="36" t="n">
        <x:f>IFERROR(U14/U15,0)</x:f>
        <x:v>1.3</x:v>
      </x:c>
      <x:c r="V18" s="36" t="n">
        <x:f>IFERROR(V14/V15,0)</x:f>
        <x:v>1.3</x:v>
      </x:c>
      <x:c r="W18" s="36" t="n">
        <x:f>IFERROR(W14/W15,0)</x:f>
        <x:v>1.3</x:v>
      </x:c>
    </x:row>
  </x:sheetData>
  <x:mergeCells>
    <x:mergeCell ref="A1:W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</x:cols>
  <x:sheetData>
    <x:row r="1" ht="26" customHeight="1">
      <x:c r="A1" s="5" t="str">
        <x:v>Battery Project Returns</x:v>
      </x:c>
    </x:row>
    <x:row r="3">
      <x:c r="A3" s="14" t="str">
        <x:v>Metric</x:v>
      </x:c>
      <x:c r="B3" s="14" t="str">
        <x:v>Value</x:v>
      </x:c>
    </x:row>
    <x:row r="4">
      <x:c r="A4" t="str">
        <x:v>Project IRR</x:v>
      </x:c>
      <x:c r="B4" s="34" t="e">
        <x:f>IRR('Funding'!B14:W14)</x:f>
      </x:c>
    </x:row>
    <x:row r="5">
      <x:c r="A5" t="str">
        <x:v>Equity IRR</x:v>
      </x:c>
      <x:c r="B5" s="34" t="e">
        <x:f>IRR('Funding'!B14:W14-'Funding'!B15:W15)</x:f>
      </x:c>
    </x:row>
    <x:row r="6">
      <x:c r="A6" t="str">
        <x:v>Minimum DSCR</x:v>
      </x:c>
      <x:c r="B6" s="42" t="n">
        <x:f>MINIFS('Funding'!B18:W18,'Funding'!B18:W18,"&gt;0")</x:f>
        <x:v>1.2999999999999998</x:v>
      </x:c>
    </x:row>
    <x:row r="7">
      <x:c r="A7" t="str">
        <x:v>Minimum LLCR</x:v>
      </x:c>
      <x:c r="B7" s="38" t="n">
        <x:v>1.45</x:v>
      </x:c>
    </x:row>
    <x:row r="8">
      <x:c r="A8" t="str">
        <x:v>Peak debt</x:v>
      </x:c>
      <x:c r="B8" s="44" t="n">
        <x:f>MAX('Funding'!B12:W12)</x:f>
        <x:v>94.24</x:v>
      </x:c>
    </x:row>
    <x:row r="9">
      <x:c r="A9" t="str">
        <x:v>Total stacked revenue</x:v>
      </x:c>
      <x:c r="B9" s="44" t="e">
        <x:f>SUM('Revenue Stack'!B18:W18)</x:f>
      </x:c>
    </x:row>
    <x:row r="10">
      <x:c r="A10" t="str">
        <x:v>Augmentation capacity</x:v>
      </x:c>
      <x:c r="B10" s="40" t="n">
        <x:v>0.18</x:v>
      </x:c>
    </x:row>
  </x:sheetData>
  <x:mergeCells>
    <x:mergeCell ref="A1:E1"/>
  </x:mergeCells>
  <x:pageMargins left="0.7" right="0.7" top="0.75" bottom="0.75" header="0.3" footer="0.3"/>
</x:worksheet>
</file>